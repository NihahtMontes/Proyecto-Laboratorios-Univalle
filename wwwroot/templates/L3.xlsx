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nivalleedu-my.sharepoint.com/personal/sperezy_univalle_edu/Documents/Documentos/SIG LAB GASTRONOMIA/0. Gestion Laboratorios/Formulario L-3 Equipos y materiales/9 GESTION 1-26/"/>
    </mc:Choice>
  </mc:AlternateContent>
  <xr:revisionPtr revIDLastSave="633" documentId="13_ncr:1_{EC387D2F-178E-4EFD-BF1C-DD322D556ED1}" xr6:coauthVersionLast="47" xr6:coauthVersionMax="47" xr10:uidLastSave="{E43D9128-C86F-4BA2-9A5D-409A7A18CB94}"/>
  <bookViews>
    <workbookView xWindow="-120" yWindow="-120" windowWidth="24240" windowHeight="13140" tabRatio="1000" activeTab="7" xr2:uid="{00000000-000D-0000-FFFF-FFFF00000000}"/>
  </bookViews>
  <sheets>
    <sheet name="2-2024" sheetId="51" r:id="rId1"/>
    <sheet name="1-2025" sheetId="71" r:id="rId2"/>
    <sheet name="2-2025" sheetId="75" r:id="rId3"/>
    <sheet name="1-2026" sheetId="76" r:id="rId4"/>
    <sheet name="SAL01" sheetId="49" state="hidden" r:id="rId5"/>
    <sheet name="SAL02" sheetId="52" state="hidden" r:id="rId6"/>
    <sheet name="SAL 03" sheetId="53" r:id="rId7"/>
    <sheet name="SAL 04" sheetId="55" r:id="rId8"/>
    <sheet name="SAL 05" sheetId="57" r:id="rId9"/>
    <sheet name="SAL 06" sheetId="58" r:id="rId10"/>
    <sheet name="SAL 07" sheetId="62" r:id="rId11"/>
    <sheet name="SAL 08" sheetId="63" r:id="rId12"/>
    <sheet name="SAL 09" sheetId="64" r:id="rId13"/>
    <sheet name="SAL 10" sheetId="66" r:id="rId14"/>
    <sheet name="SAL 11" sheetId="67" r:id="rId15"/>
  </sheets>
  <definedNames>
    <definedName name="_xlnm._FilterDatabase" localSheetId="1" hidden="1">'1-2025'!$A$1:$H$135</definedName>
    <definedName name="_xlnm._FilterDatabase" localSheetId="3" hidden="1">'1-2026'!$A$1:$J$92</definedName>
    <definedName name="_xlnm._FilterDatabase" localSheetId="0" hidden="1">'2-2024'!$A$1:$H$111</definedName>
    <definedName name="_xlnm._FilterDatabase" localSheetId="2" hidden="1">'2-2025'!$A$1:$J$97</definedName>
    <definedName name="_xlnm.Print_Area" localSheetId="6">'SAL 03'!$A$1:$U$39</definedName>
    <definedName name="_xlnm.Print_Area" localSheetId="7">'SAL 04'!$A$1:$U$32</definedName>
    <definedName name="_xlnm.Print_Area" localSheetId="8">'SAL 05'!$A$1:$U$35</definedName>
    <definedName name="_xlnm.Print_Area" localSheetId="9">'SAL 06'!$A$1:$U$38</definedName>
    <definedName name="_xlnm.Print_Area" localSheetId="10">'SAL 07'!$A$1:$U$39</definedName>
    <definedName name="_xlnm.Print_Area" localSheetId="11">'SAL 08'!$A$1:$U$38</definedName>
    <definedName name="_xlnm.Print_Area" localSheetId="12">'SAL 09'!$A$1:$U$40</definedName>
    <definedName name="_xlnm.Print_Area" localSheetId="13">'SAL 10'!$A$1:$U$39</definedName>
    <definedName name="_xlnm.Print_Area" localSheetId="14">'SAL 11'!$A$1:$U$36</definedName>
    <definedName name="_xlnm.Print_Area" localSheetId="4">'SAL01'!$A$1:$U$38</definedName>
    <definedName name="_xlnm.Print_Area" localSheetId="5">'SAL02'!$A$1:$U$45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92" i="76" l="1"/>
  <c r="AJ91" i="76"/>
  <c r="AJ90" i="76"/>
  <c r="AJ89" i="76"/>
  <c r="AJ88" i="76"/>
  <c r="AJ87" i="76"/>
  <c r="AJ86" i="76"/>
  <c r="AJ85" i="76"/>
  <c r="AJ84" i="76"/>
  <c r="AJ83" i="76"/>
  <c r="AJ82" i="76"/>
  <c r="AJ81" i="76"/>
  <c r="AJ80" i="76"/>
  <c r="AJ79" i="76"/>
  <c r="AJ78" i="76"/>
  <c r="AJ77" i="76"/>
  <c r="AJ76" i="76"/>
  <c r="AJ75" i="76"/>
  <c r="AJ74" i="76"/>
  <c r="AJ73" i="76"/>
  <c r="AJ72" i="76"/>
  <c r="AJ71" i="76"/>
  <c r="AJ70" i="76"/>
  <c r="AJ69" i="76"/>
  <c r="AJ68" i="76"/>
  <c r="AJ67" i="76"/>
  <c r="AJ66" i="76"/>
  <c r="AJ65" i="76"/>
  <c r="AJ64" i="76"/>
  <c r="AJ63" i="76"/>
  <c r="AJ62" i="76"/>
  <c r="AJ61" i="76"/>
  <c r="AJ60" i="76"/>
  <c r="AJ59" i="76"/>
  <c r="AJ58" i="76"/>
  <c r="AJ57" i="76"/>
  <c r="AJ56" i="76"/>
  <c r="AJ55" i="76"/>
  <c r="AJ54" i="76"/>
  <c r="AJ53" i="76"/>
  <c r="AJ52" i="76"/>
  <c r="AJ51" i="76"/>
  <c r="AJ50" i="76"/>
  <c r="AJ49" i="76"/>
  <c r="AJ48" i="76"/>
  <c r="AJ47" i="76"/>
  <c r="AJ46" i="76"/>
  <c r="AJ45" i="76"/>
  <c r="AJ44" i="76"/>
  <c r="AJ43" i="76"/>
  <c r="AJ42" i="76"/>
  <c r="AJ41" i="76"/>
  <c r="AJ40" i="76"/>
  <c r="AJ39" i="76"/>
  <c r="AJ38" i="76"/>
  <c r="AJ37" i="76"/>
  <c r="AJ36" i="76"/>
  <c r="AJ35" i="76"/>
  <c r="AJ34" i="76"/>
  <c r="AJ33" i="76"/>
  <c r="AJ32" i="76"/>
  <c r="AJ31" i="76"/>
  <c r="AJ30" i="76"/>
  <c r="AJ29" i="76"/>
  <c r="AJ28" i="76"/>
  <c r="AJ27" i="76"/>
  <c r="AJ26" i="76"/>
  <c r="AJ25" i="76"/>
  <c r="AJ24" i="76"/>
  <c r="AJ23" i="76"/>
  <c r="AJ22" i="76"/>
  <c r="AJ21" i="76"/>
  <c r="AJ20" i="76"/>
  <c r="AJ19" i="76"/>
  <c r="AJ18" i="76"/>
  <c r="AJ17" i="76"/>
  <c r="AJ16" i="76"/>
  <c r="AJ15" i="76"/>
  <c r="AJ14" i="76"/>
  <c r="AJ13" i="76"/>
  <c r="AJ12" i="76"/>
  <c r="AJ11" i="76"/>
  <c r="AJ10" i="76"/>
  <c r="AJ9" i="76"/>
  <c r="AJ8" i="76"/>
  <c r="AJ7" i="76"/>
  <c r="AJ6" i="76"/>
  <c r="AJ5" i="76"/>
  <c r="AJ4" i="76"/>
  <c r="AJ3" i="76"/>
  <c r="AJ2" i="76"/>
  <c r="AJ3" i="75"/>
  <c r="AJ4" i="75"/>
  <c r="AJ5" i="75"/>
  <c r="AJ6" i="75"/>
  <c r="AJ7" i="75"/>
  <c r="AJ8" i="75"/>
  <c r="AJ9" i="75"/>
  <c r="AJ10" i="75"/>
  <c r="AJ11" i="75"/>
  <c r="AJ12" i="75"/>
  <c r="AJ13" i="75"/>
  <c r="AJ14" i="75"/>
  <c r="AJ15" i="75"/>
  <c r="AJ16" i="75"/>
  <c r="AJ17" i="75"/>
  <c r="AJ18" i="75"/>
  <c r="AJ19" i="75"/>
  <c r="AJ20" i="75"/>
  <c r="AJ21" i="75"/>
  <c r="AJ22" i="75"/>
  <c r="AJ23" i="75"/>
  <c r="AJ24" i="75"/>
  <c r="AJ25" i="75"/>
  <c r="AJ26" i="75"/>
  <c r="AJ27" i="75"/>
  <c r="AJ28" i="75"/>
  <c r="AJ29" i="75"/>
  <c r="AJ30" i="75"/>
  <c r="AJ31" i="75"/>
  <c r="AJ32" i="75"/>
  <c r="AJ33" i="75"/>
  <c r="AJ34" i="75"/>
  <c r="AJ35" i="75"/>
  <c r="AJ36" i="75"/>
  <c r="AJ37" i="75"/>
  <c r="AJ38" i="75"/>
  <c r="AJ39" i="75"/>
  <c r="AJ40" i="75"/>
  <c r="AJ41" i="75"/>
  <c r="AJ42" i="75"/>
  <c r="AJ43" i="75"/>
  <c r="AJ44" i="75"/>
  <c r="AJ45" i="75"/>
  <c r="AJ46" i="75"/>
  <c r="AJ47" i="75"/>
  <c r="AJ48" i="75"/>
  <c r="AJ49" i="75"/>
  <c r="AJ50" i="75"/>
  <c r="AJ51" i="75"/>
  <c r="AJ52" i="75"/>
  <c r="AJ53" i="75"/>
  <c r="AJ54" i="75"/>
  <c r="AJ55" i="75"/>
  <c r="AJ56" i="75"/>
  <c r="AJ57" i="75"/>
  <c r="AJ58" i="75"/>
  <c r="AJ59" i="75"/>
  <c r="AJ60" i="75"/>
  <c r="AJ61" i="75"/>
  <c r="AJ62" i="75"/>
  <c r="AJ63" i="75"/>
  <c r="AJ64" i="75"/>
  <c r="AJ65" i="75"/>
  <c r="AJ66" i="75"/>
  <c r="AJ67" i="75"/>
  <c r="AJ68" i="75"/>
  <c r="AJ69" i="75"/>
  <c r="AJ70" i="75"/>
  <c r="AJ71" i="75"/>
  <c r="AJ72" i="75"/>
  <c r="AJ73" i="75"/>
  <c r="AJ74" i="75"/>
  <c r="AJ75" i="75"/>
  <c r="AJ76" i="75"/>
  <c r="AJ77" i="75"/>
  <c r="AJ78" i="75"/>
  <c r="AJ79" i="75"/>
  <c r="AJ80" i="75"/>
  <c r="AJ81" i="75"/>
  <c r="AJ82" i="75"/>
  <c r="AJ83" i="75"/>
  <c r="AJ84" i="75"/>
  <c r="AJ85" i="75"/>
  <c r="AJ86" i="75"/>
  <c r="AJ87" i="75"/>
  <c r="AJ88" i="75"/>
  <c r="AJ89" i="75"/>
  <c r="AJ90" i="75"/>
  <c r="AJ91" i="75"/>
  <c r="AJ92" i="75"/>
  <c r="AJ93" i="75"/>
  <c r="AJ94" i="75"/>
  <c r="AJ95" i="75"/>
  <c r="AJ96" i="75"/>
  <c r="AJ97" i="75"/>
  <c r="AJ2" i="75"/>
  <c r="AH112" i="71"/>
  <c r="AH113" i="71"/>
  <c r="AH114" i="71"/>
  <c r="AH115" i="71"/>
  <c r="AH116" i="71"/>
  <c r="AH117" i="71"/>
  <c r="AH118" i="71"/>
  <c r="AH119" i="71"/>
  <c r="AH120" i="71"/>
  <c r="AH121" i="71"/>
  <c r="AH122" i="71"/>
  <c r="AH123" i="71"/>
  <c r="AH124" i="71"/>
  <c r="AH125" i="71"/>
  <c r="AH126" i="71"/>
  <c r="AH127" i="71"/>
  <c r="AH128" i="71"/>
  <c r="AH129" i="71"/>
  <c r="AH130" i="71"/>
  <c r="AH131" i="71"/>
  <c r="AH132" i="71"/>
  <c r="AH133" i="71"/>
  <c r="AH134" i="71"/>
  <c r="AH135" i="71"/>
  <c r="B155" i="71"/>
  <c r="D155" i="71" s="1"/>
  <c r="B154" i="71"/>
  <c r="D154" i="71" s="1"/>
  <c r="B153" i="71"/>
  <c r="D153" i="71" s="1"/>
  <c r="AH111" i="71"/>
  <c r="AH110" i="71"/>
  <c r="AH109" i="71"/>
  <c r="AH108" i="71"/>
  <c r="AH107" i="71"/>
  <c r="AH106" i="71"/>
  <c r="AH105" i="71"/>
  <c r="A105" i="71"/>
  <c r="A106" i="71" s="1"/>
  <c r="A107" i="71" s="1"/>
  <c r="A108" i="71" s="1"/>
  <c r="A109" i="71" s="1"/>
  <c r="A110" i="71" s="1"/>
  <c r="A111" i="71" s="1"/>
  <c r="A112" i="71" s="1"/>
  <c r="A113" i="71" s="1"/>
  <c r="A114" i="71" s="1"/>
  <c r="A115" i="71" s="1"/>
  <c r="A116" i="71" s="1"/>
  <c r="A117" i="71" s="1"/>
  <c r="A118" i="71" s="1"/>
  <c r="A119" i="71" s="1"/>
  <c r="A120" i="71" s="1"/>
  <c r="A121" i="71" s="1"/>
  <c r="A122" i="71" s="1"/>
  <c r="A123" i="71" s="1"/>
  <c r="A124" i="71" s="1"/>
  <c r="A125" i="71" s="1"/>
  <c r="A126" i="71" s="1"/>
  <c r="A127" i="71" s="1"/>
  <c r="A128" i="71" s="1"/>
  <c r="A129" i="71" s="1"/>
  <c r="A130" i="71" s="1"/>
  <c r="A131" i="71" s="1"/>
  <c r="A132" i="71" s="1"/>
  <c r="A133" i="71" s="1"/>
  <c r="A134" i="71" s="1"/>
  <c r="A135" i="71" s="1"/>
  <c r="AH104" i="71"/>
  <c r="AH103" i="71"/>
  <c r="AH102" i="71"/>
  <c r="AH101" i="71"/>
  <c r="AH100" i="71"/>
  <c r="AH99" i="71"/>
  <c r="AH98" i="71"/>
  <c r="AH97" i="71"/>
  <c r="AH96" i="71"/>
  <c r="AH95" i="71"/>
  <c r="AH94" i="71"/>
  <c r="AH93" i="71"/>
  <c r="A93" i="71"/>
  <c r="A94" i="71" s="1"/>
  <c r="A95" i="71" s="1"/>
  <c r="A96" i="71" s="1"/>
  <c r="A97" i="71" s="1"/>
  <c r="A98" i="71" s="1"/>
  <c r="A99" i="71" s="1"/>
  <c r="A100" i="71" s="1"/>
  <c r="A101" i="71" s="1"/>
  <c r="A102" i="71" s="1"/>
  <c r="A103" i="71" s="1"/>
  <c r="A104" i="71" s="1"/>
  <c r="AH92" i="71"/>
  <c r="AH91" i="71"/>
  <c r="AH90" i="71"/>
  <c r="AH89" i="71"/>
  <c r="AH88" i="71"/>
  <c r="AH87" i="71"/>
  <c r="AH86" i="71"/>
  <c r="AH85" i="71"/>
  <c r="AH84" i="71"/>
  <c r="A84" i="71"/>
  <c r="A85" i="71" s="1"/>
  <c r="A86" i="71" s="1"/>
  <c r="A87" i="71" s="1"/>
  <c r="A88" i="71" s="1"/>
  <c r="A89" i="71" s="1"/>
  <c r="A90" i="71" s="1"/>
  <c r="A91" i="71" s="1"/>
  <c r="A92" i="71" s="1"/>
  <c r="AH83" i="71"/>
  <c r="AH82" i="71"/>
  <c r="AH81" i="71"/>
  <c r="AH80" i="71"/>
  <c r="AH79" i="71"/>
  <c r="AH78" i="71"/>
  <c r="AH77" i="71"/>
  <c r="AH76" i="71"/>
  <c r="AH75" i="71"/>
  <c r="AH74" i="71"/>
  <c r="AH73" i="71"/>
  <c r="AH72" i="71"/>
  <c r="AH71" i="71"/>
  <c r="AH70" i="71"/>
  <c r="AH69" i="71"/>
  <c r="AH68" i="71"/>
  <c r="AH67" i="71"/>
  <c r="AH66" i="71"/>
  <c r="A66" i="71"/>
  <c r="A67" i="71" s="1"/>
  <c r="A68" i="71" s="1"/>
  <c r="A69" i="71" s="1"/>
  <c r="A70" i="71" s="1"/>
  <c r="A71" i="71" s="1"/>
  <c r="A72" i="71" s="1"/>
  <c r="A73" i="71" s="1"/>
  <c r="A74" i="71" s="1"/>
  <c r="A75" i="71" s="1"/>
  <c r="A76" i="71" s="1"/>
  <c r="A77" i="71" s="1"/>
  <c r="A78" i="71" s="1"/>
  <c r="A79" i="71" s="1"/>
  <c r="A80" i="71" s="1"/>
  <c r="A81" i="71" s="1"/>
  <c r="A82" i="71" s="1"/>
  <c r="A83" i="71" s="1"/>
  <c r="AH65" i="71"/>
  <c r="AH64" i="71"/>
  <c r="AH63" i="71"/>
  <c r="AH62" i="71"/>
  <c r="AH61" i="71"/>
  <c r="AH60" i="71"/>
  <c r="AH59" i="71"/>
  <c r="AH58" i="71"/>
  <c r="AH57" i="71"/>
  <c r="AH56" i="71"/>
  <c r="AH55" i="71"/>
  <c r="AH54" i="71"/>
  <c r="AH53" i="71"/>
  <c r="AH52" i="71"/>
  <c r="AH51" i="71"/>
  <c r="AH50" i="71"/>
  <c r="AH49" i="71"/>
  <c r="AH48" i="71"/>
  <c r="AH47" i="71"/>
  <c r="AH46" i="71"/>
  <c r="AH45" i="71"/>
  <c r="AH44" i="71"/>
  <c r="AH43" i="71"/>
  <c r="AH42" i="71"/>
  <c r="AH41" i="71"/>
  <c r="AH40" i="71"/>
  <c r="A40" i="71"/>
  <c r="A41" i="71" s="1"/>
  <c r="A42" i="71" s="1"/>
  <c r="A43" i="71" s="1"/>
  <c r="A44" i="71" s="1"/>
  <c r="A45" i="71" s="1"/>
  <c r="A46" i="71" s="1"/>
  <c r="A47" i="71" s="1"/>
  <c r="A48" i="71" s="1"/>
  <c r="A49" i="71" s="1"/>
  <c r="A50" i="71" s="1"/>
  <c r="A51" i="71" s="1"/>
  <c r="A52" i="71" s="1"/>
  <c r="A53" i="71" s="1"/>
  <c r="A54" i="71" s="1"/>
  <c r="A55" i="71" s="1"/>
  <c r="A56" i="71" s="1"/>
  <c r="A57" i="71" s="1"/>
  <c r="A58" i="71" s="1"/>
  <c r="A59" i="71" s="1"/>
  <c r="A60" i="71" s="1"/>
  <c r="A61" i="71" s="1"/>
  <c r="A62" i="71" s="1"/>
  <c r="A63" i="71" s="1"/>
  <c r="A64" i="71" s="1"/>
  <c r="AH39" i="71"/>
  <c r="AH38" i="71"/>
  <c r="AH37" i="71"/>
  <c r="AH36" i="71"/>
  <c r="AH35" i="71"/>
  <c r="AH34" i="71"/>
  <c r="AH33" i="71"/>
  <c r="AH32" i="71"/>
  <c r="AH31" i="71"/>
  <c r="AH30" i="71"/>
  <c r="AH29" i="71"/>
  <c r="AH28" i="71"/>
  <c r="AH27" i="71"/>
  <c r="AH26" i="71"/>
  <c r="AH25" i="71"/>
  <c r="AH24" i="71"/>
  <c r="AH23" i="71"/>
  <c r="AH22" i="71"/>
  <c r="AH21" i="71"/>
  <c r="AH20" i="71"/>
  <c r="AH19" i="71"/>
  <c r="AH18" i="71"/>
  <c r="AH17" i="71"/>
  <c r="AH16" i="71"/>
  <c r="AH15" i="71"/>
  <c r="AH14" i="71"/>
  <c r="AH13" i="71"/>
  <c r="AH12" i="71"/>
  <c r="AH11" i="71"/>
  <c r="AH10" i="71"/>
  <c r="AH9" i="71"/>
  <c r="AH8" i="71"/>
  <c r="AH7" i="71"/>
  <c r="AH6" i="71"/>
  <c r="AH5" i="71"/>
  <c r="AH4" i="71"/>
  <c r="AH3" i="71"/>
  <c r="A3" i="71"/>
  <c r="A4" i="71" s="1"/>
  <c r="A5" i="71" s="1"/>
  <c r="A6" i="71" s="1"/>
  <c r="A7" i="71" s="1"/>
  <c r="A8" i="71" s="1"/>
  <c r="AH2" i="71"/>
  <c r="AH3" i="51"/>
  <c r="AH4" i="51"/>
  <c r="AH5" i="51"/>
  <c r="AH6" i="51"/>
  <c r="AH7" i="51"/>
  <c r="AH8" i="51"/>
  <c r="AH9" i="51"/>
  <c r="AH10" i="51"/>
  <c r="AH11" i="51"/>
  <c r="AH12" i="51"/>
  <c r="AH13" i="51"/>
  <c r="AH14" i="51"/>
  <c r="AH15" i="51"/>
  <c r="AH16" i="51"/>
  <c r="AH17" i="51"/>
  <c r="AH18" i="51"/>
  <c r="AH19" i="51"/>
  <c r="AH20" i="51"/>
  <c r="AH21" i="51"/>
  <c r="AH22" i="51"/>
  <c r="AH23" i="51"/>
  <c r="AH24" i="51"/>
  <c r="AH25" i="51"/>
  <c r="AH26" i="51"/>
  <c r="AH27" i="51"/>
  <c r="AH28" i="51"/>
  <c r="AH29" i="51"/>
  <c r="AH30" i="51"/>
  <c r="AH31" i="51"/>
  <c r="AH32" i="51"/>
  <c r="AH33" i="51"/>
  <c r="AH34" i="51"/>
  <c r="AH35" i="51"/>
  <c r="AH36" i="51"/>
  <c r="AH37" i="51"/>
  <c r="AH38" i="51"/>
  <c r="AH39" i="51"/>
  <c r="AH40" i="51"/>
  <c r="AH41" i="51"/>
  <c r="AH42" i="51"/>
  <c r="AH43" i="51"/>
  <c r="AH44" i="51"/>
  <c r="AH45" i="51"/>
  <c r="AH46" i="51"/>
  <c r="AH47" i="51"/>
  <c r="AH48" i="51"/>
  <c r="AH49" i="51"/>
  <c r="AH50" i="51"/>
  <c r="AH51" i="51"/>
  <c r="AH52" i="51"/>
  <c r="AH53" i="51"/>
  <c r="AH54" i="51"/>
  <c r="AH55" i="51"/>
  <c r="AH56" i="51"/>
  <c r="AH57" i="51"/>
  <c r="AH58" i="51"/>
  <c r="AH59" i="51"/>
  <c r="AH60" i="51"/>
  <c r="AH61" i="51"/>
  <c r="AH62" i="51"/>
  <c r="AH63" i="51"/>
  <c r="AH64" i="51"/>
  <c r="AH65" i="51"/>
  <c r="AH66" i="51"/>
  <c r="AH67" i="51"/>
  <c r="AH68" i="51"/>
  <c r="AH69" i="51"/>
  <c r="AH70" i="51"/>
  <c r="AH71" i="51"/>
  <c r="AH72" i="51"/>
  <c r="AH73" i="51"/>
  <c r="AH74" i="51"/>
  <c r="AH75" i="51"/>
  <c r="AH76" i="51"/>
  <c r="AH77" i="51"/>
  <c r="AH78" i="51"/>
  <c r="AH79" i="51"/>
  <c r="AH80" i="51"/>
  <c r="AH81" i="51"/>
  <c r="AH82" i="51"/>
  <c r="AH83" i="51"/>
  <c r="AH84" i="51"/>
  <c r="AH85" i="51"/>
  <c r="AH86" i="51"/>
  <c r="AH87" i="51"/>
  <c r="AH88" i="51"/>
  <c r="AH89" i="51"/>
  <c r="AH90" i="51"/>
  <c r="AH91" i="51"/>
  <c r="AH92" i="51"/>
  <c r="AH93" i="51"/>
  <c r="AH94" i="51"/>
  <c r="AH95" i="51"/>
  <c r="AH96" i="51"/>
  <c r="AH97" i="51"/>
  <c r="AH98" i="51"/>
  <c r="AH99" i="51"/>
  <c r="AH100" i="51"/>
  <c r="AH101" i="51"/>
  <c r="AH102" i="51"/>
  <c r="AH103" i="51"/>
  <c r="AH104" i="51"/>
  <c r="AH105" i="51"/>
  <c r="AH106" i="51"/>
  <c r="AH107" i="51"/>
  <c r="AH108" i="51"/>
  <c r="AH109" i="51"/>
  <c r="AH110" i="51"/>
  <c r="AH111" i="51"/>
  <c r="AH2" i="51"/>
  <c r="A10" i="71" l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9" i="71"/>
  <c r="B119" i="51"/>
  <c r="D119" i="51" s="1"/>
  <c r="B118" i="51"/>
  <c r="D118" i="51" s="1"/>
  <c r="B117" i="51"/>
  <c r="D117" i="51" s="1"/>
  <c r="A105" i="51"/>
  <c r="A106" i="51" s="1"/>
  <c r="A107" i="51" s="1"/>
  <c r="A108" i="51" s="1"/>
  <c r="A109" i="51" s="1"/>
  <c r="A110" i="51" s="1"/>
  <c r="A111" i="51" s="1"/>
  <c r="A93" i="51"/>
  <c r="A94" i="51" s="1"/>
  <c r="A95" i="51" s="1"/>
  <c r="A96" i="51" s="1"/>
  <c r="A97" i="51" s="1"/>
  <c r="A98" i="51" s="1"/>
  <c r="A99" i="51" s="1"/>
  <c r="A100" i="51" s="1"/>
  <c r="A101" i="51" s="1"/>
  <c r="A102" i="51" s="1"/>
  <c r="A103" i="51" s="1"/>
  <c r="A104" i="51" s="1"/>
  <c r="A84" i="51"/>
  <c r="A85" i="51" s="1"/>
  <c r="A86" i="51" s="1"/>
  <c r="A87" i="51" s="1"/>
  <c r="A88" i="51" s="1"/>
  <c r="A89" i="51" s="1"/>
  <c r="A90" i="51" s="1"/>
  <c r="A91" i="51" s="1"/>
  <c r="A92" i="51" s="1"/>
  <c r="A66" i="51"/>
  <c r="A67" i="51" s="1"/>
  <c r="A68" i="51" s="1"/>
  <c r="A69" i="51" s="1"/>
  <c r="A70" i="51" s="1"/>
  <c r="A71" i="51" s="1"/>
  <c r="A72" i="51" s="1"/>
  <c r="A73" i="51" s="1"/>
  <c r="A74" i="51" s="1"/>
  <c r="A75" i="51" s="1"/>
  <c r="A76" i="51" s="1"/>
  <c r="A77" i="51" s="1"/>
  <c r="A78" i="51" s="1"/>
  <c r="A79" i="51" s="1"/>
  <c r="A80" i="51" s="1"/>
  <c r="A81" i="51" s="1"/>
  <c r="A82" i="51" s="1"/>
  <c r="A83" i="51" s="1"/>
  <c r="A40" i="51"/>
  <c r="A41" i="51" s="1"/>
  <c r="A42" i="51" s="1"/>
  <c r="A43" i="51" s="1"/>
  <c r="A44" i="51" s="1"/>
  <c r="A45" i="51" s="1"/>
  <c r="A46" i="51" s="1"/>
  <c r="A47" i="51" s="1"/>
  <c r="A48" i="51" s="1"/>
  <c r="A49" i="51" s="1"/>
  <c r="A50" i="51" s="1"/>
  <c r="A51" i="51" s="1"/>
  <c r="A52" i="51" s="1"/>
  <c r="A53" i="51" s="1"/>
  <c r="A54" i="51" s="1"/>
  <c r="A55" i="51" s="1"/>
  <c r="A56" i="51" s="1"/>
  <c r="A57" i="51" s="1"/>
  <c r="A58" i="51" s="1"/>
  <c r="A59" i="51" s="1"/>
  <c r="A60" i="51" s="1"/>
  <c r="A61" i="51" s="1"/>
  <c r="A62" i="51" s="1"/>
  <c r="A63" i="51" s="1"/>
  <c r="A64" i="51" s="1"/>
  <c r="A3" i="51"/>
  <c r="A4" i="51" s="1"/>
  <c r="A5" i="51" s="1"/>
  <c r="A6" i="51" s="1"/>
  <c r="A7" i="51" s="1"/>
  <c r="A8" i="51" s="1"/>
  <c r="A36" i="71" l="1"/>
  <c r="A37" i="71"/>
  <c r="A38" i="71" s="1"/>
  <c r="A9" i="51"/>
  <c r="A10" i="5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32" i="51" s="1"/>
  <c r="A33" i="51" s="1"/>
  <c r="A34" i="51" s="1"/>
  <c r="A35" i="51" s="1"/>
  <c r="A37" i="51" l="1"/>
  <c r="A38" i="51" s="1"/>
  <c r="A36" i="51"/>
</calcChain>
</file>

<file path=xl/sharedStrings.xml><?xml version="1.0" encoding="utf-8"?>
<sst xmlns="http://schemas.openxmlformats.org/spreadsheetml/2006/main" count="3167" uniqueCount="355">
  <si>
    <t>UNIVERSIDAD DEL VALLE</t>
  </si>
  <si>
    <t>SOLICITUD DE INSUMOS Y UTENSILIOS GASTRONÓMICOS</t>
  </si>
  <si>
    <t xml:space="preserve">LABORATORIO DE: </t>
  </si>
  <si>
    <t>FORMULARIO L-3.1</t>
  </si>
  <si>
    <t>Código de registro: RE-10-LAB-264</t>
  </si>
  <si>
    <t>Versión 2.0</t>
  </si>
  <si>
    <t>SEDE/ SUB SEDE: Cochabamba</t>
  </si>
  <si>
    <t>FACULTAD:  Arq. Y Turismo</t>
  </si>
  <si>
    <t>DEPARTAMENTO:  Gastronomìa</t>
  </si>
  <si>
    <t>SOLO PERSONAL DE LABORATORIO</t>
  </si>
  <si>
    <t>CARRERA: Gastronomia</t>
  </si>
  <si>
    <t>ENTREGADO POR: Ing. Vania Antezana</t>
  </si>
  <si>
    <t>DETALLE DE LOS INSUMOS</t>
  </si>
  <si>
    <t>CANTIDAD</t>
  </si>
  <si>
    <t>UNIDAD</t>
  </si>
  <si>
    <t>DEVOLUCIÓN</t>
  </si>
  <si>
    <t>SALDO</t>
  </si>
  <si>
    <t>………………………………………………………</t>
  </si>
  <si>
    <t>FIRMA DEL DOCENTE</t>
  </si>
  <si>
    <t>Las solicitudes deben realizarse con 24 horas de anticipación a la práctica. El material debe ser revisado antes de retirar de ventanilla, no se aceptan reclamos posteriores.</t>
  </si>
  <si>
    <t>El formulario deberá ser llenado por el Docente</t>
  </si>
  <si>
    <t>Página 1 de 1</t>
  </si>
  <si>
    <t xml:space="preserve">HORA: </t>
  </si>
  <si>
    <t xml:space="preserve">ESTUDIANTE: </t>
  </si>
  <si>
    <t>DOCENTE: Ing. Sara Perez</t>
  </si>
  <si>
    <t xml:space="preserve">HORARIO: </t>
  </si>
  <si>
    <t>TODOS LOS LABORATORIOS</t>
  </si>
  <si>
    <t xml:space="preserve">LABORATORIO: </t>
  </si>
  <si>
    <t>RECIBIDO POR: Ing. Perez</t>
  </si>
  <si>
    <t>PZA</t>
  </si>
  <si>
    <t>ESPONJA METALIZADA</t>
  </si>
  <si>
    <t>GESTIÓN: 2/2024</t>
  </si>
  <si>
    <t>Nro. DE SOLICITUD: 1</t>
  </si>
  <si>
    <t>Item</t>
  </si>
  <si>
    <t>MATERIAL</t>
  </si>
  <si>
    <t>Cantidad</t>
  </si>
  <si>
    <t>Unid.</t>
  </si>
  <si>
    <t>TIPO</t>
  </si>
  <si>
    <t>CARRERA</t>
  </si>
  <si>
    <t>LLEGADA DEL ITEM</t>
  </si>
  <si>
    <t>OBSERVACIONES</t>
  </si>
  <si>
    <t xml:space="preserve">ACETATO DE TAMAÑO DE CARTA </t>
  </si>
  <si>
    <t>MATERIAL MISCELANEOS LABORATORIOS</t>
  </si>
  <si>
    <t>LGS</t>
  </si>
  <si>
    <t>SI</t>
  </si>
  <si>
    <t>BOLSAS AL VACIO DE 90 MIC  COFRADAS DE 15 X20 CM PAQUETE DE 100 UNID</t>
  </si>
  <si>
    <t>Paq.</t>
  </si>
  <si>
    <t>NO</t>
  </si>
  <si>
    <t>BOMBILLAS BLANCAS
( POPOTE) (PAQUETE DE 100 UNIDAD)</t>
  </si>
  <si>
    <t>BOMBILLAS DE COLORES
(POPOTE)  (PAQUETE DE 100 UNIDAD)</t>
  </si>
  <si>
    <t>BOMBILLAS TRANSPARENTES
(POPOTE) (PAQUETE DE 100 UNIDAD)</t>
  </si>
  <si>
    <t>CINTA MASKING 18MM</t>
  </si>
  <si>
    <t>CINTA MASKING 24MM</t>
  </si>
  <si>
    <t>ESPADA COCTELERA</t>
  </si>
  <si>
    <t>ESPETOS DE BAMBU MEDIANOS BOLSA DE 100 UNID)</t>
  </si>
  <si>
    <t>ESPETOS DE BAMBU PEQUEÑOS BOLSA DE 100 UNID)</t>
  </si>
  <si>
    <t>FOSFORO DE 5 CM CAJA DE 240 UNID (FLAT LUX)</t>
  </si>
  <si>
    <t>GAS BUTANO/PROPANO EN SPRAY PARA REPOSTERIA</t>
  </si>
  <si>
    <t>HILO DE BRIDAR</t>
  </si>
  <si>
    <t>rollos</t>
  </si>
  <si>
    <t>MANGAS DESECHABLES (grandes) BOLSA DE 100 UNID</t>
  </si>
  <si>
    <t>MANGAS DESECHABLES (medianas) BOLSA DE 100 UNID</t>
  </si>
  <si>
    <t>MEDIDOR DE PH EN TIRAS DE PAPEL (PAQ DE 100 TIRAS)</t>
  </si>
  <si>
    <t>MOLDE  DESECHABLE PARA PANETTONE DE PAPEL MADERA PEQUEÑO DE 8 CM</t>
  </si>
  <si>
    <t>MONDADIENTES PAQUETE DE 100 UNIDADES</t>
  </si>
  <si>
    <t>FALTAN 5 UNIDADES</t>
  </si>
  <si>
    <t>PAPEL TOALLA DE COCINA PERLA MULTIUSO 2 EN 1</t>
  </si>
  <si>
    <t>PAPEL ENCERADO ROLLO DE 10 METROS REYNOLDS</t>
  </si>
  <si>
    <t>PAPEL ESTAÑADO ROLLO GRANDE  HEAVY DUTY MARCA DIAMOND</t>
  </si>
  <si>
    <t>PAPEL MADERA PLIEGO 70 X 100 CM</t>
  </si>
  <si>
    <t>PILA AA PACK DE 8 PILAS DURACELL</t>
  </si>
  <si>
    <t>PILA AAA PACK DE 6 PILAS DURACELL</t>
  </si>
  <si>
    <t>PIROTINES GRANDES DE COLORES Paq. 100 unidades</t>
  </si>
  <si>
    <t xml:space="preserve">PLIEGO PAPEL ENCERADO PARA ALIMENTOS MADISON (70X100CM) 37G
</t>
  </si>
  <si>
    <t>PLIEGO</t>
  </si>
  <si>
    <t>ROLLO DE ACETATO PARA REPOSTERIA DE 14 CM</t>
  </si>
  <si>
    <t>ROLLOS DE PAPEL FILM DE 1400 METROS (DIAMOND)</t>
  </si>
  <si>
    <t>ROLLOS DE PAPEL TOALLA LAVABLE, ABSORBENTE SCOTT DE 116 PAÑOS</t>
  </si>
  <si>
    <t>SERVILLETA X 500 UNID</t>
  </si>
  <si>
    <t>VASOS DE 30 ML BOLSA DE 100 UNID</t>
  </si>
  <si>
    <t>VASOS DESECHABLES DE 150 ML BOLSA DE 100 UNID</t>
  </si>
  <si>
    <t>VASOS DE 30 ML DE PVC</t>
  </si>
  <si>
    <t>BOLSAS ZIPLOC O BOLSA HERMETICA CON CIERRE ZIPPER MEDIDA 7X8 cm</t>
  </si>
  <si>
    <t>BOLSAS ZIPLOC O BOLSA HERMETICA CON CIERRE ZIPPER MEDIDA 8X12 cm</t>
  </si>
  <si>
    <t>BOLSAS ZIPLOC O BOLSA HERMETICA CON CIERRE ZIPPER MEDIDA 15X20 cm</t>
  </si>
  <si>
    <t>OBLEAS DE PLASTOFORMO DE 18 CM</t>
  </si>
  <si>
    <t>4 DERM 10 GR CREMA</t>
  </si>
  <si>
    <t>MATERIAL BOTIQUIN LABORATORIOS</t>
  </si>
  <si>
    <t>Alcohol caiman al 96% ( cada lata de 16L)</t>
  </si>
  <si>
    <t>LATA</t>
  </si>
  <si>
    <t>ALERGIN CLORFERAMINA 4MG MELEATO X TABLETA</t>
  </si>
  <si>
    <t>BACTEROL FORTE SULFAMETOXAZOL 800 MG TABLETA</t>
  </si>
  <si>
    <t>COMPRESA GASA 5CM X 5CM SOBRE</t>
  </si>
  <si>
    <t>COTRIMOXAZOL 400MG/80MG</t>
  </si>
  <si>
    <t>COLOR BLANCO TELA ADHESIVA ESPARADRAPO 2,5 CM *  4,5M</t>
  </si>
  <si>
    <t>DICLOFENACO GENERICO 75 MG TABLETA</t>
  </si>
  <si>
    <t>DOMPERIDONA 10 MG GENERICO</t>
  </si>
  <si>
    <t>FLAMADOL GEL DICLOFENACO SODICO 0,01X20GR</t>
  </si>
  <si>
    <t xml:space="preserve">FLORIL  NAFAZOLINA 0,03 COLIRIO X 15ML </t>
  </si>
  <si>
    <t>GUANTEX LATEX TALLA M CAJA DE 100 UNID</t>
  </si>
  <si>
    <t>CAJA</t>
  </si>
  <si>
    <t>IBOPRUFENO 800 MG GENERICO</t>
  </si>
  <si>
    <t>JERINGA DESCARTABLE 20 ML CON AGUJA 21  X 1,5</t>
  </si>
  <si>
    <t>MANGUERA DE SUERO SIN AGUJA</t>
  </si>
  <si>
    <t>MICROPORE PIEL 3M 1,25CM X 9M</t>
  </si>
  <si>
    <t>MICROPORE PIEL 3M 2,5CM X 9M</t>
  </si>
  <si>
    <t>PARACETAMOL 500 MG GENERICO TABLETA</t>
  </si>
  <si>
    <t>POVIDINE TOPICO 125 ML</t>
  </si>
  <si>
    <t>SUERO FISIOLOGICO 0,9% ENVASE X1000 ML</t>
  </si>
  <si>
    <t>QUEMACURAN L POMADA SULFADIAZINA ARGENTICA 0,02 Y LIDOCAINA 0,005 X 60 GR</t>
  </si>
  <si>
    <t>VENDA ELASTICA 10 CM X 4,5 MTS</t>
  </si>
  <si>
    <t>VENDA ELASTICA 7,5 CM X 4,5 MTS</t>
  </si>
  <si>
    <t>VENDITAS CURITAS X100 UNID</t>
  </si>
  <si>
    <t>COFIAS X 100 UNID</t>
  </si>
  <si>
    <t>BARBIJOS DESECHABLES X 50 UNIDADES</t>
  </si>
  <si>
    <t>ANTIGRASA MAXIMUS OLA DE 5 LT</t>
  </si>
  <si>
    <t>MATERIAL LIMPIEZA LABORATORIOS</t>
  </si>
  <si>
    <t>ANTISARRO DE 5 LITROS ARCHER</t>
  </si>
  <si>
    <t>BOLSA CUARTILLERA EN ROLLO DE 30X40 CM</t>
  </si>
  <si>
    <t>ROL</t>
  </si>
  <si>
    <t>BOLSAS GRANDES PLOMAS DE BASURA 90X100 CM PAQUETE DE 10 UNID (MARCA TACHITOS)140LTS</t>
  </si>
  <si>
    <t>PAQ</t>
  </si>
  <si>
    <t>BOLSAS NEGRAS CON AGARRADOR PAQUETE GRANDES DE 100 UNIDADES (ARROBERAS CON AGARRADORES)</t>
  </si>
  <si>
    <t xml:space="preserve">BOLSAS ROJAS , PAQUETE DE 50 UNIDADES 35x65 </t>
  </si>
  <si>
    <t>BOMBRIL ( LANA DE ACERO DE GRADO FINO)</t>
  </si>
  <si>
    <t>DETERGENTE EN POLVO OMO 5KG</t>
  </si>
  <si>
    <t>DETERGENTE LAVAJILLA BIDON DE 5 LITROS MARCA OLA COLOR VERDE</t>
  </si>
  <si>
    <t>ESPONJA PARA LAVAR PLATOS DE COLOR AMARILLO MARCA ESFREBOM ( PAQUETE DE 4 UNIDADES)</t>
  </si>
  <si>
    <t>LAVANDINA BOTELLA DE 1000 ML ARCHER</t>
  </si>
  <si>
    <t>LYSOFORM AEROSOL- OLOR NEUTRO</t>
  </si>
  <si>
    <t>PAR DE GUANTES DE COLOR NARANJA TALLA M</t>
  </si>
  <si>
    <t>SAPOLIO PULIDOR PARA COCINA EN POLVO 450 GR</t>
  </si>
  <si>
    <t>VIRUTA DE ACERO</t>
  </si>
  <si>
    <t>CAUSTIC CLEANER (BIDON DE 5 LITROS) MARCA SPARTAN</t>
  </si>
  <si>
    <t>SPARFRESH ECO (BIDON DE 5 LITROS ) MARCA SPARTAN</t>
  </si>
  <si>
    <t>YELLOW PINE ( DETERGENTE SUPER CONCENTRADO PARA LIMPIEZA PROFUNDA) (BIDON 5 KG) MARCA SPARTAN</t>
  </si>
  <si>
    <t>MOLDE PARA QUESO DE ACERO INOXIDABLE DE MEDIO KG</t>
  </si>
  <si>
    <t>MATERIAL  LABORATORIOS</t>
  </si>
  <si>
    <t>LND</t>
  </si>
  <si>
    <t>TECNICA DIETETICA
TECNICA DIETOTERAPICA</t>
  </si>
  <si>
    <t>TELA GASA PARA QUESO</t>
  </si>
  <si>
    <t>ROLLO</t>
  </si>
  <si>
    <t>TERMOMETRO DE PUNZAR</t>
  </si>
  <si>
    <t>TODAS LAS MATERIAS</t>
  </si>
  <si>
    <t>PRENSA PARA TORTILLAS MANUAL 20 CM TRABAJO PESADO</t>
  </si>
  <si>
    <t xml:space="preserve">TECNICA DIETETICA
</t>
  </si>
  <si>
    <t>BIBERON DE PLASTICO 125 ML</t>
  </si>
  <si>
    <t>TECNICA DIETOTERAPICA
PRACTICA 13</t>
  </si>
  <si>
    <t>BIBERON DE CRISTAL 125 ML</t>
  </si>
  <si>
    <t>CHUPON</t>
  </si>
  <si>
    <t>PLATO PARA NIÑO ACERO INOXIDABLE TRAMONTINA</t>
  </si>
  <si>
    <t>CUBIERTOS PARA NIÑO TRAMONTINA (CUCHARA, TENEDOR , CUCHILLO  Y CUCHARILLA)</t>
  </si>
  <si>
    <t>PAPEL CELOFAN PLIEGO DE 70 X 110CM COLOR ROJO</t>
  </si>
  <si>
    <t>CAJA DE ENVASADO DE GALLETA</t>
  </si>
  <si>
    <t>LTH</t>
  </si>
  <si>
    <t>CANTIDAD DE ITEMS QUE LLEGARON</t>
  </si>
  <si>
    <t xml:space="preserve">TOTAL ITEMS </t>
  </si>
  <si>
    <t>PORCENTAJE</t>
  </si>
  <si>
    <t>SAL 1</t>
  </si>
  <si>
    <t>SAL2</t>
  </si>
  <si>
    <t>SAL3</t>
  </si>
  <si>
    <t>SAL 4</t>
  </si>
  <si>
    <t>SAL 5</t>
  </si>
  <si>
    <t>SAL 6</t>
  </si>
  <si>
    <t>SAL 7</t>
  </si>
  <si>
    <t>SAL 8</t>
  </si>
  <si>
    <t>SAL 9</t>
  </si>
  <si>
    <t>SAL 10</t>
  </si>
  <si>
    <t>SALDO ECONOMATO</t>
  </si>
  <si>
    <t>SAL 0</t>
  </si>
  <si>
    <t>ASIGNATURA: 
MISCELANEOS LGS</t>
  </si>
  <si>
    <t>Nro. DE SOLICITUD: 2</t>
  </si>
  <si>
    <t>Nro. DE SOLICITUD: 3</t>
  </si>
  <si>
    <t>Nro. DE SOLICITUD: 4</t>
  </si>
  <si>
    <t>Nro. DE SOLICITUD: 5</t>
  </si>
  <si>
    <t>Nro. DE SOLICITUD: 6</t>
  </si>
  <si>
    <t>SAL 11</t>
  </si>
  <si>
    <t>SAL 12</t>
  </si>
  <si>
    <t>SAL 13</t>
  </si>
  <si>
    <t>SAL 14</t>
  </si>
  <si>
    <t>SAL 15</t>
  </si>
  <si>
    <t>Nro. DE SOLICITUD: 7</t>
  </si>
  <si>
    <t>FECHA 2/10/2024</t>
  </si>
  <si>
    <t>Nro. DE SOLICITUD: 8</t>
  </si>
  <si>
    <t>Nro. DE SOLICITUD: 9</t>
  </si>
  <si>
    <t>SAL 16</t>
  </si>
  <si>
    <t>SAL 17</t>
  </si>
  <si>
    <t>SAL 18</t>
  </si>
  <si>
    <t>SAL 19</t>
  </si>
  <si>
    <t>SAL 20</t>
  </si>
  <si>
    <t>SAL 21</t>
  </si>
  <si>
    <t>SAL 22</t>
  </si>
  <si>
    <t>SAL 23</t>
  </si>
  <si>
    <t>SAL 24</t>
  </si>
  <si>
    <t>Nro. DE SOLICITUD: 10</t>
  </si>
  <si>
    <t>Nro. DE SOLICITUD: 11</t>
  </si>
  <si>
    <t>ASIGNATURA: 
LIMPIEZA-MISC</t>
  </si>
  <si>
    <t>ALCODERM CREMA X 10G</t>
  </si>
  <si>
    <t>AGUA OXIGENADA 10 VOL X 125 120ML</t>
  </si>
  <si>
    <t>COLOR BLANCO TELA ADHESIVA ESPARADRAPO 5 CM *  4,5M</t>
  </si>
  <si>
    <t xml:space="preserve">VENDA GASA 7,5 CM </t>
  </si>
  <si>
    <t>VENDA GASA 5 CM X 4,5 M</t>
  </si>
  <si>
    <t>GERMIKILL</t>
  </si>
  <si>
    <t>DG6</t>
  </si>
  <si>
    <t xml:space="preserve">BOLSAS BLANCAS , PAQUETE DE 50 UNIDADES 35x65 </t>
  </si>
  <si>
    <t>VIRUTIN GIRASOL PARA LIMPIEZA ACERADA</t>
  </si>
  <si>
    <t>ESPONJA METALIZADA FIBREX PARA HORNOS/OLLAS</t>
  </si>
  <si>
    <t>BOLSAS AL VACIO DE 90 MIC  COFRADAS DE 20 X30 CM PAQUETE DE 100 UNID</t>
  </si>
  <si>
    <t>BOLSAS AL VACIO DE 90 MIC  COFRADAS DE 30 X40 CM PAQUETE DE 100 UNID</t>
  </si>
  <si>
    <t>FRASCO DE VIDRIO 230 ML CON TAPA  METALICA</t>
  </si>
  <si>
    <t>ROLLOS DE PAPEL FILM DE 1400 METROS (DIAMOND) PARA ALIMENTOS  CF-45M PESO DE 6,67KG</t>
  </si>
  <si>
    <t>CABLE HDMI DE 15 METROS 8K</t>
  </si>
  <si>
    <t>SOPLETE DE REPOSTERIA CON GAS BUTANO/PROPANO EN SPRAY PARA REPOSTERIA</t>
  </si>
  <si>
    <t>SOPLETE PARA CHOCOLATE  PARA REPOSTERIA</t>
  </si>
  <si>
    <t>CORTADOR ACERO INOX DIAMETRO 15 CM Y ALTO 6CM</t>
  </si>
  <si>
    <t>ABRIDOR DE VINO  PROFESIONAL DE DOS  TIEMPOS METALICO ACERO INOX SOMMELIER</t>
  </si>
  <si>
    <t>DISPENSER PARA DETERGENTE DE 1 LITRO</t>
  </si>
  <si>
    <t>LLANTAS DE 25 CM DIAMETRO, DIMENSION RUEDA  4.10x3.50-4 PARA CARRITO DE GAS</t>
  </si>
  <si>
    <t>LLANTAS PARA GUERIDON SILICONADA DE 7 CM CON FRENO DE ALTA RESISTENCIA</t>
  </si>
  <si>
    <t>LLANTAS PARA MESA DE COCINA SILICONADA DE 1,8 PULGADAS DE ALTA RESISTENCIA</t>
  </si>
  <si>
    <t>VASO DE LICUADORA ACERO INOX MODELO CLASICA REDONDA</t>
  </si>
  <si>
    <t xml:space="preserve">VASO DE LICUADORA DE VIDRIO PARA OSTER REVERSIBLE  DE CAP 1,5 L ( 6 TAZAS) </t>
  </si>
  <si>
    <t>CUCHILLA DE MOLEDORA DE CARNE MODELO #12 DE ACERO INOXIDABLE , CUADRADO DE ACOPLE INTERIOR DE 1,2 CM / 0,47IN X 1,07/0,4IN MEAT GRINDER MODELO HD-C12A</t>
  </si>
  <si>
    <t>ARO SILICONADO PARA OLLA A PRESION MARCA TRAMONTINA DE 22 CM MODELO NBR 11823</t>
  </si>
  <si>
    <t>ARO SILICONADO PARA OLLA A PRESION MARCA TRAMONTINA DE 25 CM MODELO NBR 11823</t>
  </si>
  <si>
    <t>VALVULAS PARA OLLA A PRESION  MARCA TRAMONTINA MODELO NBR 11823</t>
  </si>
  <si>
    <t>EMPAQUETADURAS  PARA OLLA A PRESION MARCA TRAMONTINA DE 22 CM MODELO NBR 11823</t>
  </si>
  <si>
    <t>EMPAQUETADURAS PARA OLLA A PRESION MARCA TRAMONTINA DE 22 CM MODELO NBR 11823</t>
  </si>
  <si>
    <t xml:space="preserve">MARIPOSA DE BATIDORA KITCHENAID PLANETARIA </t>
  </si>
  <si>
    <t>MOLDE DE SILICONA EN FORMA DE OSITOS PARA GOMITAS</t>
  </si>
  <si>
    <t>BATA  DE LABORATORIO TALLA M UNISEX
CON NOMBRE Y LOGO INSTITUCIONAL UNIVALLE
- LIC. KATIA RIVAS
- LIC. NORAH MOLINA</t>
  </si>
  <si>
    <t>BATA  DE LABORATORIO TALLA XL UNISEX
CON NOMBRE Y LOGO INSTITUCIONAL UNIVALLE
- LIC. GONZALO MALDONADO
- LIC. VANIA VARGAS</t>
  </si>
  <si>
    <t>BATA  DE LABORATORIO TALLA L UNISEX
CON NOMBRE Y LOGO INSTITUCIONAL UNIVALLE
(SIN NOMBRE- POR DESIGNAR)</t>
  </si>
  <si>
    <t>PAÑOLETA (FORMA DE TRIANGULO)/ GORRO DE LABORATORIO CON LOGO INSTITUCIONAL UNIVALLE</t>
  </si>
  <si>
    <t>TABLON CON BOLSILLOS  DE TELA KAKI DE 1RA CALIDAD CON  LOGO INSTITUCIONAL UNIVALLE</t>
  </si>
  <si>
    <t>PANTALON TALLA XL UNISEX
CON NOMBRE Y LOGO INSTITUCIONAL UNIVALLE</t>
  </si>
  <si>
    <t>PANTALON TALLA S UNISEX
CON NOMBRE Y LOGO INSTITUCIONAL UNIVALLE</t>
  </si>
  <si>
    <t>PANTALON TALLA M UNISEX
CON NOMBRE Y LOGO INSTITUCIONAL UNIVALLE</t>
  </si>
  <si>
    <t>PANTALON TALLA L UNISEX
CON NOMBRE Y LOGO INSTITUCIONAL UNIVALLE</t>
  </si>
  <si>
    <t>UNIFORME DOCENTE</t>
  </si>
  <si>
    <t>TURISMO</t>
  </si>
  <si>
    <t>NUTRICION</t>
  </si>
  <si>
    <t>GASTRONOMIA</t>
  </si>
  <si>
    <t>No llego</t>
  </si>
  <si>
    <t>RECIBIDO</t>
  </si>
  <si>
    <t>GESTIÓN: 1/2025</t>
  </si>
  <si>
    <t>ASIGNATURA: 
LIMPIEZA LGS</t>
  </si>
  <si>
    <t>FECHA 28/02/2025</t>
  </si>
  <si>
    <t xml:space="preserve">LAVANDINA BOTELLA DE 1000 ML </t>
  </si>
  <si>
    <t>GESTIÓN: 2/2025</t>
  </si>
  <si>
    <t>PAPEL DE TOALLA DE COCINA PERLA MULTIUSO 2 EN 1</t>
  </si>
  <si>
    <t>BOLSA NEGRA CON AGARRADOR</t>
  </si>
  <si>
    <t>BOMBILLAS BLANCAS</t>
  </si>
  <si>
    <t>SEDE</t>
  </si>
  <si>
    <t>LABORATORIO</t>
  </si>
  <si>
    <t>ENCARGADO</t>
  </si>
  <si>
    <t>CAN</t>
  </si>
  <si>
    <t xml:space="preserve">DESCRIPCION </t>
  </si>
  <si>
    <t>PU</t>
  </si>
  <si>
    <t xml:space="preserve">TOTAL </t>
  </si>
  <si>
    <t>ESTADO 2</t>
  </si>
  <si>
    <t>CBBA</t>
  </si>
  <si>
    <t>GASTRONOMÍA</t>
  </si>
  <si>
    <t xml:space="preserve">ING. SARA MARIEL PEREZ </t>
  </si>
  <si>
    <t>Cuadro Comparativo</t>
  </si>
  <si>
    <t>MISCELANEOS</t>
  </si>
  <si>
    <t>BOLSAS AL VACIO DE 90 MIC  COFRADAS DE 20 X25 CM PAQUETE DE 100 UNID</t>
  </si>
  <si>
    <t>BOLSAS AL VACIO DE 90 MIC  COFRADAS DE 25 X40 CM PAQUETE DE 100 UNID</t>
  </si>
  <si>
    <t>PAPEL ENCERADO ROLLO DE 10 METROS REYNOLDS ESTUCHE CON SIERRA</t>
  </si>
  <si>
    <t>PAPEL ALUMINIO DIAMONT 24X22,8M ESTUCHE CON SIERRA</t>
  </si>
  <si>
    <t>PIROTINES GRANDES DE COLORES N7 Paq. 200 unidades</t>
  </si>
  <si>
    <t>PLIEGO PAPEL ENCERADO PARA ALIMENTOS MADISON (70X100CM) 37G</t>
  </si>
  <si>
    <t>ROLLOS DE PAPEL FILM DE 1400 METROS PARA ALIMENTOS  CF-45M PESO DE 6,67KG( FIVE STICK)</t>
  </si>
  <si>
    <t>VASOS DE 100 ML DE PVC- POSTRERA PAQ 100</t>
  </si>
  <si>
    <t>BOLSAS ZIPLOC O BOLSA HERMETICA CON CIERRE ZIPPER MEDIDA 7X8 cm  PAQUETE DE 50 UNIDAD</t>
  </si>
  <si>
    <t>BOLSAS ZIPLOC O BOLSA HERMETICA CON CIERRE ZIPPER MEDIDA 8X12 cm PAQUETE DE 50 UNIDAD</t>
  </si>
  <si>
    <t>BOLSAS ZIPLOC O BOLSA HERMETICA CON CIERRE ZIPPER MEDIDA 15X20 cm PAQUETE DE 50 UNIDAD</t>
  </si>
  <si>
    <t>CINTA DOBLE CONTACTO CON SOPORTE DE POLIETILENO O GOMA EVA 12MM DE ANCHO</t>
  </si>
  <si>
    <t>OTROS</t>
  </si>
  <si>
    <t xml:space="preserve">ETIQUETADORA/ FECHADORA MANUAL </t>
  </si>
  <si>
    <t>TINTA INDELEBLE</t>
  </si>
  <si>
    <t>SELLADORA DE BOLSA</t>
  </si>
  <si>
    <t>BOLSA PEQUEÑA 8X15CM PAQUETE DE 50 UNIDADES</t>
  </si>
  <si>
    <t>OLLA DE ACERO INOXIDABLE DE 2,5 LITROS TRAMONTINA SOLAR 1 MANGO- BAJA DE UTENSILIOS</t>
  </si>
  <si>
    <t>BAJA DE UTENSILIO</t>
  </si>
  <si>
    <t>OLLA A PRESION ACERO INOXIDABLE FONDO TRIPLE 4.5 LITROS 20CM DIAMETRO- BAJA DE UTENSILIOS</t>
  </si>
  <si>
    <t>ESPATULAS NEGRA SILICONA TRAMONTINA- BAJA DE UTENSILIOS</t>
  </si>
  <si>
    <t>PISAPURE INOX-BAJA DE UTENSILIOS</t>
  </si>
  <si>
    <t>RALLADOR INOX TRAMONTINA 4 LADOS-BAJA DE UTENSILIOS</t>
  </si>
  <si>
    <t>COLADOR MEDIANO INOX TRAMONTINA  - BAJA DE UTENSLIOS</t>
  </si>
  <si>
    <t>CUCHARA DE PALO- BAJA DE UTENSILIOS</t>
  </si>
  <si>
    <t>SEÑALETICA DE GESTION DE RESIDUOS RECICLABLES (PAPEL-VIDRIO/ALUMINIO-PET) DE 30X42CM PVC FOAM  TIPO INTERIOR 3mm</t>
  </si>
  <si>
    <t>SEÑALETICA</t>
  </si>
  <si>
    <t>SEÑALETICA DE LAVADO DE MANOS  PVC FOAM TIPO INTERIOR 3mm Tamaño A4 21 x 30 cm</t>
  </si>
  <si>
    <t>SEÑALETICA NFPA ACEITE VEGETAL  Tipo Exterior Metalico Tamaño A4 21 x 30 cm</t>
  </si>
  <si>
    <t>SEÑALETICA PRECAUCION PISO MOJADO EN CASO DE LLUVIA Tipo Exterior Metalico Tamaño A4 21 x 30 cm</t>
  </si>
  <si>
    <t>SEÑALETICA ADVERTENCIA NO CORRA POR ESTA ESCALERA Tipo Exterior Metalico Tamaño A4 21 x 30 cm</t>
  </si>
  <si>
    <t>SEÑALETICA DE GESTION DE RESIDUOS ORGANICOS  PVC FOAM TIPO INTERIOR 3mm Tamaño A4 21 x 30 cm</t>
  </si>
  <si>
    <t>SEÑALETICA DE GESTION DE RESIDUOS COMUNES  PVC FOAM TIPO INTERIOR 3mm Tamaño A4 21 x 30 cm</t>
  </si>
  <si>
    <t>Entregado</t>
  </si>
  <si>
    <t>BOTIQUIN</t>
  </si>
  <si>
    <t>ALCOHOL IODADO X125 ML</t>
  </si>
  <si>
    <t>DICLOFENACO GEL  SODICO 0,01X20GR</t>
  </si>
  <si>
    <t>MICROPORE PIEL  1,25CM X 9M</t>
  </si>
  <si>
    <t>MICROPORE PIEL  2,5CM X 9M</t>
  </si>
  <si>
    <t>LIMPIEZA</t>
  </si>
  <si>
    <t>BOLSAS GRANDES DE BASURA 75 LITROS - PAQUETE 10 UNIDAD</t>
  </si>
  <si>
    <t>BOLSAS NEGRAS CON AGARRADOR 35X65 PAQUETE GRANDES DE 100 UNIDADES (ARROBERAS CON AGARRADORES)</t>
  </si>
  <si>
    <t>ESPETOS DE BAMBU MEDIANOS 30 CM BOLSA DE 100 UNID)</t>
  </si>
  <si>
    <t>ESPETOS DE BAMBU PEQUEÑOS 20 CM BOLSA DE 100 UNID)</t>
  </si>
  <si>
    <t>VASOS DE 300 ML BOLSA DE 100 UNID</t>
  </si>
  <si>
    <t>VASOS DESECHABLES DE 250 ML BOLSA DE 100 UNID</t>
  </si>
  <si>
    <t>PAPEL FIM</t>
  </si>
  <si>
    <t>FECHA 05/09/2025</t>
  </si>
  <si>
    <t>FECHA 09/09/2025</t>
  </si>
  <si>
    <t>FECHA 10/10/2025</t>
  </si>
  <si>
    <t>ALCOHOL CAIMAN</t>
  </si>
  <si>
    <t xml:space="preserve">ROLLOS DE PAPEL TOALLA </t>
  </si>
  <si>
    <t>ROLLOS DE PAPEL TOALLA GRANDE</t>
  </si>
  <si>
    <t>BOLSAS NEGRAS CON AGARRADOR</t>
  </si>
  <si>
    <t>FECHA 04/11/2025</t>
  </si>
  <si>
    <t>FECHA 19/11/2025</t>
  </si>
  <si>
    <t>ANTIGRASA  DE 5 LT</t>
  </si>
  <si>
    <t>LITROS</t>
  </si>
  <si>
    <t>GESTIÓN: 1/2026</t>
  </si>
  <si>
    <t xml:space="preserve">Nutrición y Dietetica </t>
  </si>
  <si>
    <t>Ing. Sara Perez</t>
  </si>
  <si>
    <t>Paquete</t>
  </si>
  <si>
    <t>ESPONJA PARA LAVAR PLATOS DE COLOR AMARILLO (PAQUETE DE 4 UNIDADES)</t>
  </si>
  <si>
    <t xml:space="preserve">DETERGENTE PREMIUN LAVAJILLA </t>
  </si>
  <si>
    <t>SANI-T-10-PLUS (FRASCO 1 LITRO)</t>
  </si>
  <si>
    <t xml:space="preserve">ROLLOS DE PAPEL TOALLA LAVABLE, ULTRA ABSORBENTE </t>
  </si>
  <si>
    <t>PAPEL AUTOADHESIVO TRANSPARENTE TAMAÑO A4 PAQUETE DE 20 HOJAS</t>
  </si>
  <si>
    <t>PISTOLA PULVERIZADORA PLASTICA</t>
  </si>
  <si>
    <t xml:space="preserve">Hotelería y Turismo </t>
  </si>
  <si>
    <t>SERVILLETAS PAQUETE DE 100 UNIDADES</t>
  </si>
  <si>
    <t>PULVERIZADOR DE 500 ML INCLUIDO EL FRASCO</t>
  </si>
  <si>
    <t>Gastronomia (Miscelaneo)</t>
  </si>
  <si>
    <t>BOLSA EN ROLLO DE 30X40 CM (CUARTILLERA)</t>
  </si>
  <si>
    <t>BOLSA EN ROLLO DE 16X25 CM</t>
  </si>
  <si>
    <t>VIRUTIN GIRASOL PARA LIMPIEZA ACERADA(METAL ESPIRAL)</t>
  </si>
  <si>
    <t xml:space="preserve">ALCOHOL 96%(FRASCO 1 LITRO) </t>
  </si>
  <si>
    <t>ROLLOS DE PAPEL FILM DE 1400 METROS PARA ALIMENTOS  CF-45M PESO DE 6,67KG</t>
  </si>
  <si>
    <t xml:space="preserve">BOTELLA DE VIDRIO DE 1 LITRO </t>
  </si>
  <si>
    <t>LIMPIA BIBERON KIT(CEPILLO Y ESPONJA GIRATORIA)</t>
  </si>
  <si>
    <t>VENDITAS CURITAS LARGA X100 UNID</t>
  </si>
  <si>
    <t>CAUSTIC CLEANER (BIDON DE 20 LITROS) MARCA SPARTAN</t>
  </si>
  <si>
    <t>SANI-T-10-PLUS Frasco de 1 litro MARCA SPARTAN(GALON DE 5 LITROS)</t>
  </si>
  <si>
    <t>X EFFECT DESINFECTANTE PARA PISOS(BIDON 5 KG) MARCA SPARTAN</t>
  </si>
  <si>
    <t>DETERGENTE LAVAJILLA PREMIUN BLUE GLO (BIDON 5 KG) MARCA SPARTAN</t>
  </si>
  <si>
    <t>OVEN&amp;GRILL CLEANER (BIDON 5 KG) MARCA SPARTAN</t>
  </si>
  <si>
    <t xml:space="preserve">LAVANDINA X5 1 LITRO </t>
  </si>
  <si>
    <t>MONDADIENTES PAQUETE DE 250 UNIDADES</t>
  </si>
  <si>
    <t>FECHA 02/02/2026</t>
  </si>
  <si>
    <t>FECHA 06/03/2026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</si>
</sst>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28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1"/>
      <name val="Calibri"/>
      <family val="2"/>
      <scheme val="minor"/>
    </font>
    <font>
      <sz val="7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Arial"/>
      <family val="2"/>
    </font>
    <font>
      <sz val="8"/>
      <color indexed="8"/>
      <name val="Calibri"/>
      <family val="2"/>
    </font>
    <font>
      <sz val="8"/>
      <color indexed="8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sz val="8"/>
      <color theme="1"/>
      <name val="Calibri"/>
      <family val="2"/>
    </font>
    <font>
      <sz val="8"/>
      <color rgb="FF000000"/>
      <name val="Calibri"/>
      <family val="2"/>
    </font>
    <font>
      <sz val="8"/>
      <name val="Calibri"/>
      <family val="2"/>
      <scheme val="minor"/>
    </font>
    <font>
      <sz val="8"/>
      <color rgb="FF000000"/>
      <name val="Arial"/>
      <family val="2"/>
    </font>
    <font>
      <sz val="8"/>
      <color indexed="8"/>
      <name val="Arial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theme="4" tint="0.39997558519241921"/>
      </bottom>
      <diagonal/>
    </border>
    <border>
      <left/>
      <right style="thin">
        <color indexed="64"/>
      </right>
      <top style="medium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0" fontId="15" fillId="0" borderId="0"/>
    <xf numFmtId="9" fontId="18" fillId="0" borderId="0" applyFont="0" applyFill="0" applyBorder="0" applyAlignment="0" applyProtection="0"/>
  </cellStyleXfs>
  <cellXfs count="325">
    <xf numFmtId="0" fontId="0" fillId="0" borderId="0" xfId="0"/>
    <xf numFmtId="0" fontId="0" fillId="0" borderId="8" xfId="0" applyBorder="1"/>
    <xf numFmtId="0" fontId="6" fillId="0" borderId="0" xfId="0" applyFont="1"/>
    <xf numFmtId="0" fontId="4" fillId="0" borderId="0" xfId="0" applyFont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0" xfId="0" applyFont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4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1" xfId="0" applyBorder="1"/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top" wrapText="1"/>
    </xf>
    <xf numFmtId="0" fontId="6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7" fillId="0" borderId="12" xfId="2" applyFont="1" applyBorder="1" applyAlignment="1" applyProtection="1">
      <alignment horizontal="center" vertical="top" wrapText="1" readingOrder="1"/>
      <protection locked="0"/>
    </xf>
    <xf numFmtId="0" fontId="0" fillId="0" borderId="9" xfId="0" applyBorder="1" applyAlignment="1">
      <alignment horizontal="center" vertical="center"/>
    </xf>
    <xf numFmtId="0" fontId="17" fillId="0" borderId="12" xfId="2" applyFont="1" applyBorder="1" applyAlignment="1" applyProtection="1">
      <alignment horizontal="center" vertical="center" wrapText="1" readingOrder="1"/>
      <protection locked="0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20" fillId="3" borderId="14" xfId="0" applyFont="1" applyFill="1" applyBorder="1" applyAlignment="1" applyProtection="1">
      <alignment vertical="top" wrapText="1" readingOrder="1"/>
      <protection locked="0"/>
    </xf>
    <xf numFmtId="0" fontId="0" fillId="0" borderId="0" xfId="0" applyAlignment="1">
      <alignment vertical="center"/>
    </xf>
    <xf numFmtId="0" fontId="16" fillId="0" borderId="1" xfId="0" applyFont="1" applyBorder="1" applyAlignment="1" applyProtection="1">
      <alignment vertical="center" wrapText="1" readingOrder="1"/>
      <protection locked="0"/>
    </xf>
    <xf numFmtId="164" fontId="16" fillId="0" borderId="1" xfId="0" applyNumberFormat="1" applyFont="1" applyBorder="1" applyAlignment="1" applyProtection="1">
      <alignment vertical="center" wrapText="1" readingOrder="1"/>
      <protection locked="0"/>
    </xf>
    <xf numFmtId="0" fontId="16" fillId="4" borderId="1" xfId="0" applyFont="1" applyFill="1" applyBorder="1" applyAlignment="1" applyProtection="1">
      <alignment vertical="center" wrapText="1" readingOrder="1"/>
      <protection locked="0"/>
    </xf>
    <xf numFmtId="164" fontId="16" fillId="4" borderId="1" xfId="0" applyNumberFormat="1" applyFont="1" applyFill="1" applyBorder="1" applyAlignment="1" applyProtection="1">
      <alignment vertical="center" wrapText="1" readingOrder="1"/>
      <protection locked="0"/>
    </xf>
    <xf numFmtId="0" fontId="22" fillId="5" borderId="1" xfId="0" applyFont="1" applyFill="1" applyBorder="1" applyAlignment="1">
      <alignment vertical="center" wrapText="1"/>
    </xf>
    <xf numFmtId="0" fontId="16" fillId="4" borderId="1" xfId="0" applyFont="1" applyFill="1" applyBorder="1" applyAlignment="1" applyProtection="1">
      <alignment horizontal="left" vertical="center" wrapText="1" readingOrder="1"/>
      <protection locked="0"/>
    </xf>
    <xf numFmtId="0" fontId="22" fillId="4" borderId="1" xfId="0" applyFont="1" applyFill="1" applyBorder="1" applyAlignment="1">
      <alignment vertical="center" wrapText="1"/>
    </xf>
    <xf numFmtId="0" fontId="0" fillId="0" borderId="13" xfId="0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0" fontId="19" fillId="0" borderId="16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9" fillId="0" borderId="13" xfId="0" applyFont="1" applyBorder="1"/>
    <xf numFmtId="0" fontId="0" fillId="0" borderId="1" xfId="0" applyBorder="1"/>
    <xf numFmtId="9" fontId="0" fillId="0" borderId="16" xfId="3" applyFont="1" applyBorder="1"/>
    <xf numFmtId="0" fontId="19" fillId="0" borderId="17" xfId="0" applyFont="1" applyBorder="1"/>
    <xf numFmtId="0" fontId="0" fillId="0" borderId="18" xfId="0" applyBorder="1" applyAlignment="1">
      <alignment horizontal="center"/>
    </xf>
    <xf numFmtId="0" fontId="0" fillId="0" borderId="18" xfId="0" applyBorder="1"/>
    <xf numFmtId="9" fontId="0" fillId="0" borderId="19" xfId="3" applyFont="1" applyBorder="1"/>
    <xf numFmtId="0" fontId="0" fillId="0" borderId="0" xfId="0" applyAlignment="1">
      <alignment wrapText="1"/>
    </xf>
    <xf numFmtId="0" fontId="20" fillId="3" borderId="8" xfId="0" applyFont="1" applyFill="1" applyBorder="1" applyAlignment="1" applyProtection="1">
      <alignment vertical="top" wrapText="1" readingOrder="1"/>
      <protection locked="0"/>
    </xf>
    <xf numFmtId="0" fontId="16" fillId="0" borderId="1" xfId="0" applyFont="1" applyBorder="1" applyAlignment="1" applyProtection="1">
      <alignment horizontal="center" vertical="center" wrapText="1" readingOrder="1"/>
      <protection locked="0"/>
    </xf>
    <xf numFmtId="0" fontId="21" fillId="0" borderId="1" xfId="0" applyFont="1" applyBorder="1" applyAlignment="1">
      <alignment horizontal="center" vertical="center"/>
    </xf>
    <xf numFmtId="0" fontId="16" fillId="4" borderId="1" xfId="0" applyFont="1" applyFill="1" applyBorder="1" applyAlignment="1" applyProtection="1">
      <alignment horizontal="center" vertical="center" wrapText="1" readingOrder="1"/>
      <protection locked="0"/>
    </xf>
    <xf numFmtId="0" fontId="20" fillId="3" borderId="20" xfId="0" applyFont="1" applyFill="1" applyBorder="1" applyAlignment="1" applyProtection="1">
      <alignment horizontal="center" vertical="top" wrapText="1" readingOrder="1"/>
      <protection locked="0"/>
    </xf>
    <xf numFmtId="0" fontId="20" fillId="3" borderId="15" xfId="0" applyFont="1" applyFill="1" applyBorder="1" applyAlignment="1" applyProtection="1">
      <alignment vertical="top" wrapText="1" readingOrder="1"/>
      <protection locked="0"/>
    </xf>
    <xf numFmtId="0" fontId="20" fillId="3" borderId="15" xfId="0" applyFont="1" applyFill="1" applyBorder="1" applyAlignment="1" applyProtection="1">
      <alignment horizontal="center" vertical="top" wrapText="1" readingOrder="1"/>
      <protection locked="0"/>
    </xf>
    <xf numFmtId="0" fontId="16" fillId="0" borderId="13" xfId="0" applyFont="1" applyBorder="1" applyAlignment="1" applyProtection="1">
      <alignment horizontal="center" vertical="center" wrapText="1" readingOrder="1"/>
      <protection locked="0"/>
    </xf>
    <xf numFmtId="0" fontId="16" fillId="4" borderId="13" xfId="0" applyFont="1" applyFill="1" applyBorder="1" applyAlignment="1" applyProtection="1">
      <alignment horizontal="center" vertical="center" wrapText="1" readingOrder="1"/>
      <protection locked="0"/>
    </xf>
    <xf numFmtId="0" fontId="16" fillId="4" borderId="17" xfId="0" applyFont="1" applyFill="1" applyBorder="1" applyAlignment="1" applyProtection="1">
      <alignment horizontal="center" vertical="center" wrapText="1" readingOrder="1"/>
      <protection locked="0"/>
    </xf>
    <xf numFmtId="0" fontId="16" fillId="0" borderId="18" xfId="0" applyFont="1" applyBorder="1" applyAlignment="1" applyProtection="1">
      <alignment vertical="center" wrapText="1" readingOrder="1"/>
      <protection locked="0"/>
    </xf>
    <xf numFmtId="164" fontId="16" fillId="0" borderId="18" xfId="0" applyNumberFormat="1" applyFont="1" applyBorder="1" applyAlignment="1" applyProtection="1">
      <alignment vertical="center" wrapText="1" readingOrder="1"/>
      <protection locked="0"/>
    </xf>
    <xf numFmtId="0" fontId="21" fillId="0" borderId="18" xfId="0" applyFont="1" applyBorder="1" applyAlignment="1">
      <alignment horizontal="center" vertical="center"/>
    </xf>
    <xf numFmtId="0" fontId="20" fillId="3" borderId="0" xfId="0" applyFont="1" applyFill="1" applyAlignment="1" applyProtection="1">
      <alignment vertical="top" wrapText="1" readingOrder="1"/>
      <protection locked="0"/>
    </xf>
    <xf numFmtId="3" fontId="0" fillId="0" borderId="1" xfId="0" applyNumberForma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vertical="center"/>
    </xf>
    <xf numFmtId="0" fontId="20" fillId="3" borderId="26" xfId="0" applyFont="1" applyFill="1" applyBorder="1" applyAlignment="1" applyProtection="1">
      <alignment vertical="top" wrapText="1" readingOrder="1"/>
      <protection locked="0"/>
    </xf>
    <xf numFmtId="0" fontId="21" fillId="0" borderId="2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3" fontId="21" fillId="0" borderId="4" xfId="0" applyNumberFormat="1" applyFont="1" applyBorder="1" applyAlignment="1">
      <alignment horizontal="center" vertical="center"/>
    </xf>
    <xf numFmtId="3" fontId="16" fillId="0" borderId="4" xfId="0" applyNumberFormat="1" applyFont="1" applyBorder="1" applyAlignment="1" applyProtection="1">
      <alignment horizontal="center" vertical="center" wrapText="1" readingOrder="1"/>
      <protection locked="0"/>
    </xf>
    <xf numFmtId="0" fontId="20" fillId="3" borderId="28" xfId="0" applyFont="1" applyFill="1" applyBorder="1" applyAlignment="1" applyProtection="1">
      <alignment vertical="top" wrapText="1" readingOrder="1"/>
      <protection locked="0"/>
    </xf>
    <xf numFmtId="0" fontId="21" fillId="0" borderId="23" xfId="0" applyFont="1" applyBorder="1" applyAlignment="1">
      <alignment vertical="center"/>
    </xf>
    <xf numFmtId="0" fontId="21" fillId="0" borderId="24" xfId="0" applyFont="1" applyBorder="1" applyAlignment="1">
      <alignment vertical="center"/>
    </xf>
    <xf numFmtId="0" fontId="16" fillId="4" borderId="24" xfId="0" applyFont="1" applyFill="1" applyBorder="1" applyAlignment="1" applyProtection="1">
      <alignment vertical="center" wrapText="1" readingOrder="1"/>
      <protection locked="0"/>
    </xf>
    <xf numFmtId="0" fontId="21" fillId="0" borderId="25" xfId="0" applyFont="1" applyBorder="1" applyAlignment="1">
      <alignment vertical="center"/>
    </xf>
    <xf numFmtId="0" fontId="16" fillId="0" borderId="1" xfId="0" applyFont="1" applyBorder="1" applyAlignment="1" applyProtection="1">
      <alignment vertical="top" wrapText="1" readingOrder="1"/>
      <protection locked="0"/>
    </xf>
    <xf numFmtId="0" fontId="16" fillId="4" borderId="1" xfId="0" applyFont="1" applyFill="1" applyBorder="1" applyAlignment="1" applyProtection="1">
      <alignment vertical="top" wrapText="1" readingOrder="1"/>
      <protection locked="0"/>
    </xf>
    <xf numFmtId="0" fontId="24" fillId="5" borderId="1" xfId="0" applyFont="1" applyFill="1" applyBorder="1" applyAlignment="1">
      <alignment vertical="top" wrapText="1"/>
    </xf>
    <xf numFmtId="0" fontId="24" fillId="4" borderId="1" xfId="0" applyFont="1" applyFill="1" applyBorder="1" applyAlignment="1">
      <alignment vertical="top" wrapText="1"/>
    </xf>
    <xf numFmtId="0" fontId="16" fillId="4" borderId="1" xfId="1" applyFont="1" applyFill="1" applyBorder="1" applyAlignment="1" applyProtection="1">
      <alignment vertical="top" wrapText="1" readingOrder="1"/>
      <protection locked="0"/>
    </xf>
    <xf numFmtId="0" fontId="16" fillId="0" borderId="1" xfId="1" applyFont="1" applyBorder="1" applyAlignment="1" applyProtection="1">
      <alignment vertical="top" wrapText="1" readingOrder="1"/>
      <protection locked="0"/>
    </xf>
    <xf numFmtId="0" fontId="16" fillId="0" borderId="1" xfId="1" applyFont="1" applyBorder="1" applyAlignment="1" applyProtection="1">
      <alignment vertical="center" wrapText="1" readingOrder="1"/>
      <protection locked="0"/>
    </xf>
    <xf numFmtId="0" fontId="16" fillId="0" borderId="29" xfId="0" applyFont="1" applyBorder="1" applyAlignment="1" applyProtection="1">
      <alignment vertical="top" wrapText="1" readingOrder="1"/>
      <protection locked="0"/>
    </xf>
    <xf numFmtId="3" fontId="21" fillId="0" borderId="1" xfId="0" applyNumberFormat="1" applyFont="1" applyBorder="1" applyAlignment="1">
      <alignment horizontal="center" vertical="center"/>
    </xf>
    <xf numFmtId="0" fontId="16" fillId="0" borderId="2" xfId="0" applyFont="1" applyBorder="1" applyAlignment="1" applyProtection="1">
      <alignment vertical="center" wrapText="1" readingOrder="1"/>
      <protection locked="0"/>
    </xf>
    <xf numFmtId="0" fontId="16" fillId="0" borderId="0" xfId="0" applyFont="1" applyAlignment="1" applyProtection="1">
      <alignment vertical="center" wrapText="1" readingOrder="1"/>
      <protection locked="0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3" fontId="21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16" fillId="0" borderId="1" xfId="0" applyNumberFormat="1" applyFont="1" applyBorder="1" applyAlignment="1" applyProtection="1">
      <alignment vertical="top" wrapText="1" readingOrder="1"/>
      <protection locked="0"/>
    </xf>
    <xf numFmtId="0" fontId="17" fillId="0" borderId="1" xfId="0" applyFont="1" applyBorder="1" applyAlignment="1" applyProtection="1">
      <alignment vertical="top" wrapText="1" readingOrder="1"/>
      <protection locked="0"/>
    </xf>
    <xf numFmtId="164" fontId="16" fillId="4" borderId="1" xfId="0" applyNumberFormat="1" applyFont="1" applyFill="1" applyBorder="1" applyAlignment="1" applyProtection="1">
      <alignment vertical="top" wrapText="1" readingOrder="1"/>
      <protection locked="0"/>
    </xf>
    <xf numFmtId="0" fontId="17" fillId="4" borderId="1" xfId="0" applyFont="1" applyFill="1" applyBorder="1" applyAlignment="1" applyProtection="1">
      <alignment vertical="top" wrapText="1" readingOrder="1"/>
      <protection locked="0"/>
    </xf>
    <xf numFmtId="164" fontId="25" fillId="0" borderId="1" xfId="0" applyNumberFormat="1" applyFont="1" applyBorder="1" applyAlignment="1" applyProtection="1">
      <alignment vertical="top" wrapText="1" readingOrder="1"/>
      <protection locked="0"/>
    </xf>
    <xf numFmtId="0" fontId="25" fillId="0" borderId="1" xfId="0" applyFont="1" applyBorder="1" applyAlignment="1" applyProtection="1">
      <alignment vertical="top" wrapText="1" readingOrder="1"/>
      <protection locked="0"/>
    </xf>
    <xf numFmtId="164" fontId="25" fillId="4" borderId="1" xfId="0" applyNumberFormat="1" applyFont="1" applyFill="1" applyBorder="1" applyAlignment="1" applyProtection="1">
      <alignment vertical="top" wrapText="1" readingOrder="1"/>
      <protection locked="0"/>
    </xf>
    <xf numFmtId="0" fontId="25" fillId="4" borderId="1" xfId="0" applyFont="1" applyFill="1" applyBorder="1" applyAlignment="1" applyProtection="1">
      <alignment vertical="top" wrapText="1" readingOrder="1"/>
      <protection locked="0"/>
    </xf>
    <xf numFmtId="164" fontId="16" fillId="4" borderId="1" xfId="1" applyNumberFormat="1" applyFont="1" applyFill="1" applyBorder="1" applyAlignment="1" applyProtection="1">
      <alignment vertical="top" wrapText="1" readingOrder="1"/>
      <protection locked="0"/>
    </xf>
    <xf numFmtId="0" fontId="17" fillId="4" borderId="1" xfId="1" applyFont="1" applyFill="1" applyBorder="1" applyAlignment="1" applyProtection="1">
      <alignment vertical="top" wrapText="1" readingOrder="1"/>
      <protection locked="0"/>
    </xf>
    <xf numFmtId="164" fontId="16" fillId="0" borderId="1" xfId="1" applyNumberFormat="1" applyFont="1" applyBorder="1" applyAlignment="1" applyProtection="1">
      <alignment vertical="top" wrapText="1" readingOrder="1"/>
      <protection locked="0"/>
    </xf>
    <xf numFmtId="0" fontId="17" fillId="0" borderId="1" xfId="1" applyFont="1" applyBorder="1" applyAlignment="1" applyProtection="1">
      <alignment vertical="top" wrapText="1" readingOrder="1"/>
      <protection locked="0"/>
    </xf>
    <xf numFmtId="164" fontId="16" fillId="0" borderId="29" xfId="0" applyNumberFormat="1" applyFont="1" applyBorder="1" applyAlignment="1" applyProtection="1">
      <alignment vertical="top" wrapText="1" readingOrder="1"/>
      <protection locked="0"/>
    </xf>
    <xf numFmtId="0" fontId="17" fillId="0" borderId="29" xfId="0" applyFont="1" applyBorder="1" applyAlignment="1" applyProtection="1">
      <alignment vertical="top" wrapText="1" readingOrder="1"/>
      <protection locked="0"/>
    </xf>
    <xf numFmtId="0" fontId="25" fillId="4" borderId="1" xfId="0" applyFont="1" applyFill="1" applyBorder="1" applyAlignment="1" applyProtection="1">
      <alignment horizontal="left" vertical="top" wrapText="1" readingOrder="1"/>
      <protection locked="0"/>
    </xf>
    <xf numFmtId="0" fontId="16" fillId="0" borderId="2" xfId="0" applyFont="1" applyBorder="1" applyAlignment="1" applyProtection="1">
      <alignment vertical="top" wrapText="1" readingOrder="1"/>
      <protection locked="0"/>
    </xf>
    <xf numFmtId="0" fontId="16" fillId="0" borderId="5" xfId="0" applyFont="1" applyBorder="1" applyAlignment="1" applyProtection="1">
      <alignment vertical="top" wrapText="1" readingOrder="1"/>
      <protection locked="0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9" xfId="0" applyBorder="1" applyAlignment="1">
      <alignment horizontal="center"/>
    </xf>
    <xf numFmtId="0" fontId="17" fillId="0" borderId="12" xfId="2" applyFont="1" applyBorder="1" applyAlignment="1" applyProtection="1">
      <alignment horizontal="center" wrapText="1" readingOrder="1"/>
      <protection locked="0"/>
    </xf>
    <xf numFmtId="0" fontId="0" fillId="0" borderId="8" xfId="0" applyBorder="1" applyAlignment="1">
      <alignment horizontal="center"/>
    </xf>
    <xf numFmtId="0" fontId="15" fillId="0" borderId="2" xfId="2" applyBorder="1" applyAlignment="1">
      <alignment horizontal="center" wrapText="1"/>
    </xf>
    <xf numFmtId="0" fontId="15" fillId="0" borderId="3" xfId="2" applyBorder="1" applyAlignment="1">
      <alignment horizontal="center" wrapText="1"/>
    </xf>
    <xf numFmtId="0" fontId="15" fillId="0" borderId="4" xfId="2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/>
    </xf>
    <xf numFmtId="0" fontId="11" fillId="8" borderId="1" xfId="0" applyFont="1" applyFill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20" fillId="3" borderId="35" xfId="0" applyFont="1" applyFill="1" applyBorder="1" applyAlignment="1">
      <alignment vertical="top" wrapText="1" readingOrder="1"/>
    </xf>
    <xf numFmtId="0" fontId="20" fillId="3" borderId="36" xfId="0" applyFont="1" applyFill="1" applyBorder="1" applyAlignment="1">
      <alignment vertical="top" wrapText="1" readingOrder="1"/>
    </xf>
    <xf numFmtId="0" fontId="20" fillId="3" borderId="37" xfId="0" applyFont="1" applyFill="1" applyBorder="1" applyAlignment="1">
      <alignment vertical="top" wrapText="1" readingOrder="1"/>
    </xf>
    <xf numFmtId="3" fontId="21" fillId="6" borderId="4" xfId="0" applyNumberFormat="1" applyFont="1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3" fontId="0" fillId="0" borderId="34" xfId="0" applyNumberFormat="1" applyBorder="1" applyAlignment="1">
      <alignment horizontal="center" vertical="center"/>
    </xf>
    <xf numFmtId="3" fontId="16" fillId="0" borderId="4" xfId="0" applyNumberFormat="1" applyFont="1" applyBorder="1" applyAlignment="1">
      <alignment horizontal="center" vertical="center" wrapText="1" readingOrder="1"/>
    </xf>
    <xf numFmtId="3" fontId="16" fillId="6" borderId="4" xfId="0" applyNumberFormat="1" applyFont="1" applyFill="1" applyBorder="1" applyAlignment="1">
      <alignment horizontal="center" vertical="center" wrapText="1" readingOrder="1"/>
    </xf>
    <xf numFmtId="0" fontId="11" fillId="4" borderId="1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3" fontId="21" fillId="6" borderId="10" xfId="0" applyNumberFormat="1" applyFont="1" applyFill="1" applyBorder="1" applyAlignment="1">
      <alignment horizontal="center" vertical="center"/>
    </xf>
    <xf numFmtId="3" fontId="0" fillId="6" borderId="31" xfId="0" applyNumberFormat="1" applyFill="1" applyBorder="1" applyAlignment="1">
      <alignment horizontal="center" vertical="center"/>
    </xf>
    <xf numFmtId="0" fontId="20" fillId="3" borderId="42" xfId="0" applyFont="1" applyFill="1" applyBorder="1" applyAlignment="1">
      <alignment vertical="top" wrapText="1" readingOrder="1"/>
    </xf>
    <xf numFmtId="0" fontId="20" fillId="3" borderId="43" xfId="0" applyFont="1" applyFill="1" applyBorder="1" applyAlignment="1">
      <alignment vertical="top" wrapText="1" readingOrder="1"/>
    </xf>
    <xf numFmtId="0" fontId="20" fillId="3" borderId="44" xfId="0" applyFont="1" applyFill="1" applyBorder="1" applyAlignment="1">
      <alignment vertical="top" wrapText="1" readingOrder="1"/>
    </xf>
    <xf numFmtId="3" fontId="0" fillId="0" borderId="45" xfId="0" applyNumberFormat="1" applyBorder="1" applyAlignment="1">
      <alignment horizontal="center" vertical="center"/>
    </xf>
    <xf numFmtId="0" fontId="20" fillId="3" borderId="38" xfId="0" applyFont="1" applyFill="1" applyBorder="1" applyAlignment="1">
      <alignment vertical="top" wrapText="1" readingOrder="1"/>
    </xf>
    <xf numFmtId="0" fontId="11" fillId="4" borderId="46" xfId="0" applyFont="1" applyFill="1" applyBorder="1" applyAlignment="1">
      <alignment horizontal="center" vertical="center" wrapText="1"/>
    </xf>
    <xf numFmtId="0" fontId="11" fillId="8" borderId="31" xfId="0" applyFont="1" applyFill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0" fontId="26" fillId="7" borderId="48" xfId="0" applyFont="1" applyFill="1" applyBorder="1" applyAlignment="1">
      <alignment horizontal="center" vertical="center" wrapText="1"/>
    </xf>
    <xf numFmtId="0" fontId="26" fillId="7" borderId="42" xfId="0" applyFont="1" applyFill="1" applyBorder="1" applyAlignment="1">
      <alignment horizontal="center" vertical="center" wrapText="1"/>
    </xf>
    <xf numFmtId="0" fontId="26" fillId="7" borderId="49" xfId="0" applyFont="1" applyFill="1" applyBorder="1" applyAlignment="1">
      <alignment horizontal="center" vertical="center" wrapText="1"/>
    </xf>
    <xf numFmtId="0" fontId="26" fillId="7" borderId="50" xfId="0" applyFont="1" applyFill="1" applyBorder="1" applyAlignment="1">
      <alignment horizontal="center" vertical="center" wrapText="1"/>
    </xf>
    <xf numFmtId="0" fontId="20" fillId="3" borderId="48" xfId="0" applyFont="1" applyFill="1" applyBorder="1" applyAlignment="1">
      <alignment vertical="top" wrapText="1" readingOrder="1"/>
    </xf>
    <xf numFmtId="0" fontId="11" fillId="2" borderId="4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Alignment="1">
      <alignment horizontal="left"/>
    </xf>
    <xf numFmtId="0" fontId="17" fillId="0" borderId="12" xfId="2" applyFont="1" applyBorder="1" applyAlignment="1" applyProtection="1">
      <alignment wrapText="1" readingOrder="1"/>
      <protection locked="0"/>
    </xf>
    <xf numFmtId="3" fontId="21" fillId="0" borderId="10" xfId="0" applyNumberFormat="1" applyFont="1" applyBorder="1" applyAlignment="1">
      <alignment horizontal="center" vertical="center"/>
    </xf>
    <xf numFmtId="3" fontId="0" fillId="0" borderId="31" xfId="0" applyNumberForma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4" borderId="5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11" fillId="0" borderId="1" xfId="0" applyNumberFormat="1" applyFont="1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2" fontId="11" fillId="0" borderId="29" xfId="0" applyNumberFormat="1" applyFont="1" applyBorder="1" applyAlignment="1">
      <alignment horizontal="right" vertical="center" wrapText="1"/>
    </xf>
    <xf numFmtId="0" fontId="11" fillId="4" borderId="52" xfId="0" applyFont="1" applyFill="1" applyBorder="1" applyAlignment="1">
      <alignment horizontal="center" vertical="center" wrapText="1"/>
    </xf>
    <xf numFmtId="0" fontId="11" fillId="8" borderId="53" xfId="0" applyFont="1" applyFill="1" applyBorder="1" applyAlignment="1">
      <alignment horizontal="center" vertical="center" wrapText="1"/>
    </xf>
    <xf numFmtId="0" fontId="11" fillId="4" borderId="53" xfId="0" applyFont="1" applyFill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left" vertical="center" wrapText="1"/>
    </xf>
    <xf numFmtId="2" fontId="11" fillId="0" borderId="53" xfId="0" applyNumberFormat="1" applyFont="1" applyBorder="1" applyAlignment="1">
      <alignment horizontal="right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/>
    </xf>
    <xf numFmtId="0" fontId="26" fillId="7" borderId="54" xfId="0" applyFont="1" applyFill="1" applyBorder="1" applyAlignment="1">
      <alignment horizontal="center" vertical="center" wrapText="1"/>
    </xf>
    <xf numFmtId="0" fontId="27" fillId="0" borderId="15" xfId="2" applyFont="1" applyBorder="1" applyAlignment="1" applyProtection="1">
      <alignment horizontal="center" vertical="center" readingOrder="1"/>
      <protection locked="0"/>
    </xf>
    <xf numFmtId="0" fontId="27" fillId="0" borderId="1" xfId="2" applyFont="1" applyBorder="1" applyAlignment="1" applyProtection="1">
      <alignment horizontal="center" vertical="center" readingOrder="1"/>
      <protection locked="0"/>
    </xf>
    <xf numFmtId="0" fontId="27" fillId="0" borderId="1" xfId="2" applyFont="1" applyBorder="1" applyAlignment="1" applyProtection="1">
      <alignment horizontal="center" vertical="top" readingOrder="1"/>
      <protection locked="0"/>
    </xf>
    <xf numFmtId="0" fontId="27" fillId="0" borderId="18" xfId="2" applyFont="1" applyBorder="1" applyAlignment="1" applyProtection="1">
      <alignment horizontal="center" vertical="top" readingOrder="1"/>
      <protection locked="0"/>
    </xf>
    <xf numFmtId="0" fontId="0" fillId="0" borderId="6" xfId="0" applyBorder="1" applyAlignment="1">
      <alignment wrapText="1"/>
    </xf>
    <xf numFmtId="0" fontId="16" fillId="0" borderId="1" xfId="2" applyFont="1" applyBorder="1" applyAlignment="1" applyProtection="1">
      <alignment horizontal="left" vertical="top" wrapText="1" readingOrder="1"/>
      <protection locked="0"/>
    </xf>
    <xf numFmtId="0" fontId="15" fillId="0" borderId="2" xfId="2" applyBorder="1" applyAlignment="1">
      <alignment horizontal="center" wrapText="1"/>
    </xf>
    <xf numFmtId="0" fontId="15" fillId="0" borderId="3" xfId="2" applyBorder="1" applyAlignment="1">
      <alignment horizontal="center" wrapText="1"/>
    </xf>
    <xf numFmtId="0" fontId="15" fillId="0" borderId="4" xfId="2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8" fillId="0" borderId="0" xfId="0" applyFont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left"/>
    </xf>
    <xf numFmtId="0" fontId="15" fillId="0" borderId="1" xfId="2" applyBorder="1" applyAlignment="1">
      <alignment horizontal="center" wrapText="1"/>
    </xf>
    <xf numFmtId="0" fontId="16" fillId="0" borderId="1" xfId="2" applyFont="1" applyBorder="1" applyAlignment="1" applyProtection="1">
      <alignment horizontal="left" vertical="center" wrapText="1" readingOrder="1"/>
      <protection locked="0"/>
    </xf>
    <xf numFmtId="0" fontId="15" fillId="0" borderId="2" xfId="2" applyBorder="1" applyAlignment="1">
      <alignment horizontal="center" vertical="center" wrapText="1"/>
    </xf>
    <xf numFmtId="0" fontId="15" fillId="0" borderId="3" xfId="2" applyBorder="1" applyAlignment="1">
      <alignment horizontal="center" vertical="center" wrapText="1"/>
    </xf>
    <xf numFmtId="0" fontId="15" fillId="0" borderId="4" xfId="2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6" fillId="0" borderId="2" xfId="2" applyFont="1" applyBorder="1" applyAlignment="1" applyProtection="1">
      <alignment horizontal="left" vertical="center" wrapText="1" readingOrder="1"/>
      <protection locked="0"/>
    </xf>
    <xf numFmtId="0" fontId="16" fillId="0" borderId="3" xfId="2" applyFont="1" applyBorder="1" applyAlignment="1" applyProtection="1">
      <alignment horizontal="left" vertical="center" wrapText="1" readingOrder="1"/>
      <protection locked="0"/>
    </xf>
    <xf numFmtId="0" fontId="16" fillId="0" borderId="4" xfId="2" applyFont="1" applyBorder="1" applyAlignment="1" applyProtection="1">
      <alignment horizontal="left" vertical="center" wrapText="1" readingOrder="1"/>
      <protection locked="0"/>
    </xf>
    <xf numFmtId="0" fontId="9" fillId="0" borderId="2" xfId="2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4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5" fillId="0" borderId="1" xfId="0" applyFont="1" applyBorder="1"/>
    <xf numFmtId="0" fontId="7" fillId="0" borderId="1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14" fontId="5" fillId="0" borderId="2" xfId="0" applyNumberFormat="1" applyFont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0" fillId="0" borderId="13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1" fillId="0" borderId="1" xfId="2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0" borderId="16" xfId="0" applyFont="1" applyBorder="1" applyAlignment="1">
      <alignment horizontal="center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7" fillId="0" borderId="29" xfId="0" applyFont="1" applyBorder="1" applyAlignment="1">
      <alignment wrapText="1"/>
    </xf>
    <xf numFmtId="0" fontId="7" fillId="0" borderId="29" xfId="0" applyFont="1" applyBorder="1" applyAlignment="1">
      <alignment horizontal="right"/>
    </xf>
    <xf numFmtId="0" fontId="7" fillId="0" borderId="29" xfId="0" applyFont="1" applyBorder="1" applyAlignment="1">
      <alignment horizontal="center"/>
    </xf>
    <xf numFmtId="0" fontId="27" fillId="0" borderId="20" xfId="1" applyFont="1" applyBorder="1" applyAlignment="1">
      <alignment vertical="top" wrapText="1" readingOrder="1"/>
    </xf>
    <xf numFmtId="0" fontId="27" fillId="0" borderId="15" xfId="1" applyFont="1" applyBorder="1" applyAlignment="1">
      <alignment vertical="top" wrapText="1" readingOrder="1"/>
    </xf>
    <xf numFmtId="0" fontId="11" fillId="0" borderId="15" xfId="2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7" fillId="0" borderId="13" xfId="1" applyFont="1" applyBorder="1" applyAlignment="1">
      <alignment vertical="top" wrapText="1" readingOrder="1"/>
    </xf>
    <xf numFmtId="0" fontId="27" fillId="0" borderId="1" xfId="1" applyFont="1" applyBorder="1" applyAlignment="1">
      <alignment vertical="top" wrapText="1" readingOrder="1"/>
    </xf>
    <xf numFmtId="0" fontId="11" fillId="0" borderId="1" xfId="2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7" fillId="0" borderId="13" xfId="0" applyFont="1" applyBorder="1" applyAlignment="1">
      <alignment vertical="center" wrapText="1" readingOrder="1"/>
    </xf>
    <xf numFmtId="0" fontId="27" fillId="0" borderId="1" xfId="0" applyFont="1" applyBorder="1" applyAlignment="1">
      <alignment vertical="center" wrapText="1" readingOrder="1"/>
    </xf>
    <xf numFmtId="0" fontId="27" fillId="0" borderId="13" xfId="2" applyFont="1" applyBorder="1" applyAlignment="1" applyProtection="1">
      <alignment horizontal="left" vertical="top" wrapText="1" readingOrder="1"/>
      <protection locked="0"/>
    </xf>
    <xf numFmtId="0" fontId="27" fillId="0" borderId="1" xfId="2" applyFont="1" applyBorder="1" applyAlignment="1" applyProtection="1">
      <alignment horizontal="left" vertical="top" wrapText="1" readingOrder="1"/>
      <protection locked="0"/>
    </xf>
    <xf numFmtId="0" fontId="27" fillId="0" borderId="13" xfId="2" applyFont="1" applyBorder="1" applyAlignment="1" applyProtection="1">
      <alignment horizontal="left" vertical="center" wrapText="1" readingOrder="1"/>
      <protection locked="0"/>
    </xf>
    <xf numFmtId="0" fontId="27" fillId="0" borderId="1" xfId="2" applyFont="1" applyBorder="1" applyAlignment="1" applyProtection="1">
      <alignment horizontal="left" vertical="center" wrapText="1" readingOrder="1"/>
      <protection locked="0"/>
    </xf>
    <xf numFmtId="0" fontId="27" fillId="0" borderId="17" xfId="2" applyFont="1" applyBorder="1" applyAlignment="1" applyProtection="1">
      <alignment horizontal="left" vertical="top" wrapText="1" readingOrder="1"/>
      <protection locked="0"/>
    </xf>
    <xf numFmtId="0" fontId="27" fillId="0" borderId="18" xfId="2" applyFont="1" applyBorder="1" applyAlignment="1" applyProtection="1">
      <alignment horizontal="left" vertical="top" wrapText="1" readingOrder="1"/>
      <protection locked="0"/>
    </xf>
    <xf numFmtId="0" fontId="11" fillId="0" borderId="18" xfId="2" applyFont="1" applyBorder="1" applyAlignment="1">
      <alignment horizontal="center"/>
    </xf>
    <xf numFmtId="0" fontId="26" fillId="0" borderId="18" xfId="0" applyFont="1" applyBorder="1" applyAlignment="1">
      <alignment horizontal="center"/>
    </xf>
    <xf numFmtId="0" fontId="26" fillId="0" borderId="19" xfId="0" applyFont="1" applyBorder="1" applyAlignment="1">
      <alignment horizontal="center"/>
    </xf>
    <xf numFmtId="0" fontId="0" fillId="0" borderId="3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31" xfId="0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6" fillId="0" borderId="2" xfId="0" applyFont="1" applyBorder="1" applyAlignment="1">
      <alignment vertical="center" wrapText="1" readingOrder="1"/>
    </xf>
    <xf numFmtId="0" fontId="16" fillId="0" borderId="3" xfId="0" applyFont="1" applyBorder="1" applyAlignment="1">
      <alignment vertical="center" wrapText="1" readingOrder="1"/>
    </xf>
    <xf numFmtId="0" fontId="16" fillId="0" borderId="4" xfId="0" applyFont="1" applyBorder="1" applyAlignment="1">
      <alignment vertical="center" wrapText="1" readingOrder="1"/>
    </xf>
    <xf numFmtId="0" fontId="11" fillId="0" borderId="2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7" fillId="0" borderId="1" xfId="0" applyFont="1" applyBorder="1" applyAlignment="1">
      <alignment horizontal="left"/>
    </xf>
    <xf numFmtId="0" fontId="16" fillId="0" borderId="1" xfId="2" applyFont="1" applyBorder="1" applyAlignment="1" applyProtection="1">
      <alignment wrapText="1" readingOrder="1"/>
      <protection locked="0"/>
    </xf>
    <xf numFmtId="0" fontId="16" fillId="0" borderId="2" xfId="0" applyFont="1" applyBorder="1" applyAlignment="1">
      <alignment wrapText="1" readingOrder="1"/>
    </xf>
    <xf numFmtId="0" fontId="16" fillId="0" borderId="3" xfId="0" applyFont="1" applyBorder="1" applyAlignment="1">
      <alignment wrapText="1" readingOrder="1"/>
    </xf>
    <xf numFmtId="0" fontId="16" fillId="0" borderId="4" xfId="0" applyFont="1" applyBorder="1" applyAlignment="1">
      <alignment wrapText="1" readingOrder="1"/>
    </xf>
    <xf numFmtId="0" fontId="16" fillId="0" borderId="1" xfId="2" applyFont="1" applyBorder="1" applyAlignment="1" applyProtection="1">
      <alignment horizontal="left" wrapText="1" readingOrder="1"/>
      <protection locked="0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C2C7AC0E-F0E7-483C-97F5-ECB50299712B}"/>
    <cellStyle name="Porcentaje" xfId="3" builtinId="5"/>
  </cellStyles>
  <dxfs count="81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Tahoma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family val="2"/>
        <scheme val="none"/>
      </font>
      <numFmt numFmtId="164" formatCode="[$-10409]#,##0.00;\(#,##0.00\)"/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family val="2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0"/>
          <bgColor theme="4" tint="0.79998168889431442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family val="2"/>
        <scheme val="none"/>
      </font>
      <numFmt numFmtId="164" formatCode="[$-10409]#,##0.00;\(#,##0.00\)"/>
      <alignment horizontal="general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0"/>
          <bgColor theme="4" tint="0.79998168889431442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colors>
    <mruColors>
      <color rgb="FFFF0000"/>
      <color rgb="FFFF3300"/>
      <color rgb="FFCC3300"/>
      <color rgb="FFFF3399"/>
      <color rgb="FF008080"/>
      <color rgb="FF00FF00"/>
      <color rgb="FF0000FF"/>
      <color rgb="FFFF0066"/>
      <color rgb="FFCC0066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285789</xdr:colOff>
      <xdr:row>0</xdr:row>
      <xdr:rowOff>67638</xdr:rowOff>
    </xdr:from>
    <xdr:to>
      <xdr:col>1</xdr:col>
      <xdr:colOff>504825</xdr:colOff>
      <xdr:row>2</xdr:row>
      <xdr:rowOff>1</xdr:rowOff>
    </xdr:to>
    <xdr:pic>
      <xdr:nvPicPr>
        <xdr:cNvPr id="2" name="Imagen 1" descr="UNIVALLE 1988">
          <a:extLst>
            <a:ext uri="{FF2B5EF4-FFF2-40B4-BE49-F238E27FC236}">
              <a16:creationId xmlns:a16="http://schemas.microsoft.com/office/drawing/2014/main" id="{4DF7BE6B-2A80-45B2-A024-6FEB3B442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89" y="67638"/>
          <a:ext cx="419061" cy="313363"/>
        </a:xfrm>
        <a:prstGeom prst="rect">
          <a:avLst/>
        </a:prstGeom>
        <a:noFill/>
      </xdr:spPr>
    </xdr:pic>
    <xdr:clientData/>
  </xdr:twoCellAnchor>
  <xdr:twoCellAnchor>
    <xdr:from>
      <xdr:col>1</xdr:col>
      <xdr:colOff>867</xdr:colOff>
      <xdr:row>0</xdr:row>
      <xdr:rowOff>67638</xdr:rowOff>
    </xdr:from>
    <xdr:to>
      <xdr:col>2</xdr:col>
      <xdr:colOff>82826</xdr:colOff>
      <xdr:row>2</xdr:row>
      <xdr:rowOff>173935</xdr:rowOff>
    </xdr:to>
    <xdr:pic>
      <xdr:nvPicPr>
        <xdr:cNvPr id="3" name="Imagen 1" descr="UNIVALLE 1988">
          <a:extLst>
            <a:ext uri="{FF2B5EF4-FFF2-40B4-BE49-F238E27FC236}">
              <a16:creationId xmlns:a16="http://schemas.microsoft.com/office/drawing/2014/main" id="{A3FD6FED-893D-4877-9C1D-C2E9F5980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217" y="67638"/>
          <a:ext cx="501059" cy="487297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285789</xdr:colOff>
      <xdr:row>0</xdr:row>
      <xdr:rowOff>67638</xdr:rowOff>
    </xdr:from>
    <xdr:to>
      <xdr:col>1</xdr:col>
      <xdr:colOff>504825</xdr:colOff>
      <xdr:row>2</xdr:row>
      <xdr:rowOff>1</xdr:rowOff>
    </xdr:to>
    <xdr:pic>
      <xdr:nvPicPr>
        <xdr:cNvPr id="2" name="Imagen 1" descr="UNIVALLE 1988">
          <a:extLst>
            <a:ext uri="{FF2B5EF4-FFF2-40B4-BE49-F238E27FC236}">
              <a16:creationId xmlns:a16="http://schemas.microsoft.com/office/drawing/2014/main" id="{697FC398-C807-4E38-8FA1-1E712C362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89" y="67638"/>
          <a:ext cx="419061" cy="313363"/>
        </a:xfrm>
        <a:prstGeom prst="rect">
          <a:avLst/>
        </a:prstGeom>
        <a:noFill/>
      </xdr:spPr>
    </xdr:pic>
    <xdr:clientData/>
  </xdr:twoCellAnchor>
  <xdr:twoCellAnchor>
    <xdr:from>
      <xdr:col>1</xdr:col>
      <xdr:colOff>867</xdr:colOff>
      <xdr:row>0</xdr:row>
      <xdr:rowOff>67638</xdr:rowOff>
    </xdr:from>
    <xdr:to>
      <xdr:col>2</xdr:col>
      <xdr:colOff>82826</xdr:colOff>
      <xdr:row>2</xdr:row>
      <xdr:rowOff>173935</xdr:rowOff>
    </xdr:to>
    <xdr:pic>
      <xdr:nvPicPr>
        <xdr:cNvPr id="3" name="Imagen 1" descr="UNIVALLE 1988">
          <a:extLst>
            <a:ext uri="{FF2B5EF4-FFF2-40B4-BE49-F238E27FC236}">
              <a16:creationId xmlns:a16="http://schemas.microsoft.com/office/drawing/2014/main" id="{3C1A3065-7BB2-4689-9884-7FBE71764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217" y="67638"/>
          <a:ext cx="501059" cy="48729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285789</xdr:colOff>
      <xdr:row>0</xdr:row>
      <xdr:rowOff>67638</xdr:rowOff>
    </xdr:from>
    <xdr:to>
      <xdr:col>1</xdr:col>
      <xdr:colOff>504825</xdr:colOff>
      <xdr:row>2</xdr:row>
      <xdr:rowOff>1</xdr:rowOff>
    </xdr:to>
    <xdr:pic>
      <xdr:nvPicPr>
        <xdr:cNvPr id="2" name="Imagen 1" descr="UNIVALLE 1988">
          <a:extLst>
            <a:ext uri="{FF2B5EF4-FFF2-40B4-BE49-F238E27FC236}">
              <a16:creationId xmlns:a16="http://schemas.microsoft.com/office/drawing/2014/main" id="{FC88E54F-30F5-420D-B1B6-FEF5B5040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89" y="67638"/>
          <a:ext cx="419061" cy="313363"/>
        </a:xfrm>
        <a:prstGeom prst="rect">
          <a:avLst/>
        </a:prstGeom>
        <a:noFill/>
      </xdr:spPr>
    </xdr:pic>
    <xdr:clientData/>
  </xdr:twoCellAnchor>
  <xdr:twoCellAnchor>
    <xdr:from>
      <xdr:col>1</xdr:col>
      <xdr:colOff>867</xdr:colOff>
      <xdr:row>0</xdr:row>
      <xdr:rowOff>67638</xdr:rowOff>
    </xdr:from>
    <xdr:to>
      <xdr:col>2</xdr:col>
      <xdr:colOff>82826</xdr:colOff>
      <xdr:row>2</xdr:row>
      <xdr:rowOff>173935</xdr:rowOff>
    </xdr:to>
    <xdr:pic>
      <xdr:nvPicPr>
        <xdr:cNvPr id="3" name="Imagen 1" descr="UNIVALLE 1988">
          <a:extLst>
            <a:ext uri="{FF2B5EF4-FFF2-40B4-BE49-F238E27FC236}">
              <a16:creationId xmlns:a16="http://schemas.microsoft.com/office/drawing/2014/main" id="{037AB509-1467-43EB-952D-545248436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217" y="67638"/>
          <a:ext cx="501059" cy="487297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285789</xdr:colOff>
      <xdr:row>0</xdr:row>
      <xdr:rowOff>67638</xdr:rowOff>
    </xdr:from>
    <xdr:to>
      <xdr:col>1</xdr:col>
      <xdr:colOff>504825</xdr:colOff>
      <xdr:row>2</xdr:row>
      <xdr:rowOff>1</xdr:rowOff>
    </xdr:to>
    <xdr:pic>
      <xdr:nvPicPr>
        <xdr:cNvPr id="2" name="Imagen 1" descr="UNIVALLE 1988">
          <a:extLst>
            <a:ext uri="{FF2B5EF4-FFF2-40B4-BE49-F238E27FC236}">
              <a16:creationId xmlns:a16="http://schemas.microsoft.com/office/drawing/2014/main" id="{5A82E04C-0B20-443C-A063-F941DC4C7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89" y="67638"/>
          <a:ext cx="419061" cy="313363"/>
        </a:xfrm>
        <a:prstGeom prst="rect">
          <a:avLst/>
        </a:prstGeom>
        <a:noFill/>
      </xdr:spPr>
    </xdr:pic>
    <xdr:clientData/>
  </xdr:twoCellAnchor>
  <xdr:twoCellAnchor>
    <xdr:from>
      <xdr:col>1</xdr:col>
      <xdr:colOff>867</xdr:colOff>
      <xdr:row>0</xdr:row>
      <xdr:rowOff>67638</xdr:rowOff>
    </xdr:from>
    <xdr:to>
      <xdr:col>2</xdr:col>
      <xdr:colOff>82826</xdr:colOff>
      <xdr:row>2</xdr:row>
      <xdr:rowOff>173935</xdr:rowOff>
    </xdr:to>
    <xdr:pic>
      <xdr:nvPicPr>
        <xdr:cNvPr id="3" name="Imagen 1" descr="UNIVALLE 1988">
          <a:extLst>
            <a:ext uri="{FF2B5EF4-FFF2-40B4-BE49-F238E27FC236}">
              <a16:creationId xmlns:a16="http://schemas.microsoft.com/office/drawing/2014/main" id="{CD3CF6AF-3D87-4A4A-99B9-E7911DE9C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217" y="67638"/>
          <a:ext cx="501059" cy="487297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285789</xdr:colOff>
      <xdr:row>0</xdr:row>
      <xdr:rowOff>67638</xdr:rowOff>
    </xdr:from>
    <xdr:to>
      <xdr:col>1</xdr:col>
      <xdr:colOff>504825</xdr:colOff>
      <xdr:row>2</xdr:row>
      <xdr:rowOff>1</xdr:rowOff>
    </xdr:to>
    <xdr:pic>
      <xdr:nvPicPr>
        <xdr:cNvPr id="2" name="Imagen 1" descr="UNIVALLE 1988">
          <a:extLst>
            <a:ext uri="{FF2B5EF4-FFF2-40B4-BE49-F238E27FC236}">
              <a16:creationId xmlns:a16="http://schemas.microsoft.com/office/drawing/2014/main" id="{0CE62B38-9774-4869-8352-B7F651A6A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89" y="67638"/>
          <a:ext cx="419061" cy="313363"/>
        </a:xfrm>
        <a:prstGeom prst="rect">
          <a:avLst/>
        </a:prstGeom>
        <a:noFill/>
      </xdr:spPr>
    </xdr:pic>
    <xdr:clientData/>
  </xdr:twoCellAnchor>
  <xdr:twoCellAnchor>
    <xdr:from>
      <xdr:col>1</xdr:col>
      <xdr:colOff>867</xdr:colOff>
      <xdr:row>0</xdr:row>
      <xdr:rowOff>67638</xdr:rowOff>
    </xdr:from>
    <xdr:to>
      <xdr:col>2</xdr:col>
      <xdr:colOff>82826</xdr:colOff>
      <xdr:row>2</xdr:row>
      <xdr:rowOff>173935</xdr:rowOff>
    </xdr:to>
    <xdr:pic>
      <xdr:nvPicPr>
        <xdr:cNvPr id="3" name="Imagen 1" descr="UNIVALLE 1988">
          <a:extLst>
            <a:ext uri="{FF2B5EF4-FFF2-40B4-BE49-F238E27FC236}">
              <a16:creationId xmlns:a16="http://schemas.microsoft.com/office/drawing/2014/main" id="{F427DA11-CBCB-4018-BD14-7853BFA76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217" y="67638"/>
          <a:ext cx="501059" cy="487297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285789</xdr:colOff>
      <xdr:row>0</xdr:row>
      <xdr:rowOff>67638</xdr:rowOff>
    </xdr:from>
    <xdr:to>
      <xdr:col>1</xdr:col>
      <xdr:colOff>504825</xdr:colOff>
      <xdr:row>2</xdr:row>
      <xdr:rowOff>1</xdr:rowOff>
    </xdr:to>
    <xdr:pic>
      <xdr:nvPicPr>
        <xdr:cNvPr id="2" name="Imagen 1" descr="UNIVALLE 1988">
          <a:extLst>
            <a:ext uri="{FF2B5EF4-FFF2-40B4-BE49-F238E27FC236}">
              <a16:creationId xmlns:a16="http://schemas.microsoft.com/office/drawing/2014/main" id="{20558DF7-9091-4BC7-B343-505F39A3F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89" y="67638"/>
          <a:ext cx="419061" cy="313363"/>
        </a:xfrm>
        <a:prstGeom prst="rect">
          <a:avLst/>
        </a:prstGeom>
        <a:noFill/>
      </xdr:spPr>
    </xdr:pic>
    <xdr:clientData/>
  </xdr:twoCellAnchor>
  <xdr:twoCellAnchor>
    <xdr:from>
      <xdr:col>1</xdr:col>
      <xdr:colOff>867</xdr:colOff>
      <xdr:row>0</xdr:row>
      <xdr:rowOff>67638</xdr:rowOff>
    </xdr:from>
    <xdr:to>
      <xdr:col>2</xdr:col>
      <xdr:colOff>82826</xdr:colOff>
      <xdr:row>2</xdr:row>
      <xdr:rowOff>173935</xdr:rowOff>
    </xdr:to>
    <xdr:pic>
      <xdr:nvPicPr>
        <xdr:cNvPr id="3" name="Imagen 1" descr="UNIVALLE 1988">
          <a:extLst>
            <a:ext uri="{FF2B5EF4-FFF2-40B4-BE49-F238E27FC236}">
              <a16:creationId xmlns:a16="http://schemas.microsoft.com/office/drawing/2014/main" id="{8404E36D-D48A-4073-9BC1-C7963F1A1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217" y="67638"/>
          <a:ext cx="501059" cy="487297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285789</xdr:colOff>
      <xdr:row>0</xdr:row>
      <xdr:rowOff>67638</xdr:rowOff>
    </xdr:from>
    <xdr:to>
      <xdr:col>1</xdr:col>
      <xdr:colOff>504825</xdr:colOff>
      <xdr:row>2</xdr:row>
      <xdr:rowOff>1</xdr:rowOff>
    </xdr:to>
    <xdr:pic>
      <xdr:nvPicPr>
        <xdr:cNvPr id="2" name="Imagen 1" descr="UNIVALLE 1988">
          <a:extLst>
            <a:ext uri="{FF2B5EF4-FFF2-40B4-BE49-F238E27FC236}">
              <a16:creationId xmlns:a16="http://schemas.microsoft.com/office/drawing/2014/main" id="{D83E7095-AF67-4C68-BBE0-6E6F59B89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89" y="67638"/>
          <a:ext cx="419061" cy="313363"/>
        </a:xfrm>
        <a:prstGeom prst="rect">
          <a:avLst/>
        </a:prstGeom>
        <a:noFill/>
      </xdr:spPr>
    </xdr:pic>
    <xdr:clientData/>
  </xdr:twoCellAnchor>
  <xdr:twoCellAnchor>
    <xdr:from>
      <xdr:col>1</xdr:col>
      <xdr:colOff>867</xdr:colOff>
      <xdr:row>0</xdr:row>
      <xdr:rowOff>67638</xdr:rowOff>
    </xdr:from>
    <xdr:to>
      <xdr:col>2</xdr:col>
      <xdr:colOff>82826</xdr:colOff>
      <xdr:row>2</xdr:row>
      <xdr:rowOff>173935</xdr:rowOff>
    </xdr:to>
    <xdr:pic>
      <xdr:nvPicPr>
        <xdr:cNvPr id="3" name="Imagen 1" descr="UNIVALLE 1988">
          <a:extLst>
            <a:ext uri="{FF2B5EF4-FFF2-40B4-BE49-F238E27FC236}">
              <a16:creationId xmlns:a16="http://schemas.microsoft.com/office/drawing/2014/main" id="{ABDB6EB4-53F9-4E03-BF30-CA15DDE5B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217" y="67638"/>
          <a:ext cx="501059" cy="487297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285789</xdr:colOff>
      <xdr:row>0</xdr:row>
      <xdr:rowOff>67638</xdr:rowOff>
    </xdr:from>
    <xdr:to>
      <xdr:col>1</xdr:col>
      <xdr:colOff>504825</xdr:colOff>
      <xdr:row>2</xdr:row>
      <xdr:rowOff>1</xdr:rowOff>
    </xdr:to>
    <xdr:pic>
      <xdr:nvPicPr>
        <xdr:cNvPr id="2" name="Imagen 1" descr="UNIVALLE 1988">
          <a:extLst>
            <a:ext uri="{FF2B5EF4-FFF2-40B4-BE49-F238E27FC236}">
              <a16:creationId xmlns:a16="http://schemas.microsoft.com/office/drawing/2014/main" id="{60C76135-AED3-4A26-BD0E-BE76AA400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89" y="67638"/>
          <a:ext cx="419061" cy="313363"/>
        </a:xfrm>
        <a:prstGeom prst="rect">
          <a:avLst/>
        </a:prstGeom>
        <a:noFill/>
      </xdr:spPr>
    </xdr:pic>
    <xdr:clientData/>
  </xdr:twoCellAnchor>
  <xdr:twoCellAnchor>
    <xdr:from>
      <xdr:col>1</xdr:col>
      <xdr:colOff>867</xdr:colOff>
      <xdr:row>0</xdr:row>
      <xdr:rowOff>67638</xdr:rowOff>
    </xdr:from>
    <xdr:to>
      <xdr:col>2</xdr:col>
      <xdr:colOff>82826</xdr:colOff>
      <xdr:row>2</xdr:row>
      <xdr:rowOff>173935</xdr:rowOff>
    </xdr:to>
    <xdr:pic>
      <xdr:nvPicPr>
        <xdr:cNvPr id="3" name="Imagen 1" descr="UNIVALLE 1988">
          <a:extLst>
            <a:ext uri="{FF2B5EF4-FFF2-40B4-BE49-F238E27FC236}">
              <a16:creationId xmlns:a16="http://schemas.microsoft.com/office/drawing/2014/main" id="{747DA8BF-3916-4214-AA27-391BE9B3E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217" y="67638"/>
          <a:ext cx="501059" cy="487297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285789</xdr:colOff>
      <xdr:row>0</xdr:row>
      <xdr:rowOff>67638</xdr:rowOff>
    </xdr:from>
    <xdr:to>
      <xdr:col>1</xdr:col>
      <xdr:colOff>504825</xdr:colOff>
      <xdr:row>2</xdr:row>
      <xdr:rowOff>1</xdr:rowOff>
    </xdr:to>
    <xdr:pic>
      <xdr:nvPicPr>
        <xdr:cNvPr id="2" name="Imagen 1" descr="UNIVALLE 1988">
          <a:extLst>
            <a:ext uri="{FF2B5EF4-FFF2-40B4-BE49-F238E27FC236}">
              <a16:creationId xmlns:a16="http://schemas.microsoft.com/office/drawing/2014/main" id="{DA49600A-AB0F-4C5F-9FE0-664E3069D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89" y="67638"/>
          <a:ext cx="419061" cy="313363"/>
        </a:xfrm>
        <a:prstGeom prst="rect">
          <a:avLst/>
        </a:prstGeom>
        <a:noFill/>
      </xdr:spPr>
    </xdr:pic>
    <xdr:clientData/>
  </xdr:twoCellAnchor>
  <xdr:twoCellAnchor>
    <xdr:from>
      <xdr:col>1</xdr:col>
      <xdr:colOff>867</xdr:colOff>
      <xdr:row>0</xdr:row>
      <xdr:rowOff>67638</xdr:rowOff>
    </xdr:from>
    <xdr:to>
      <xdr:col>2</xdr:col>
      <xdr:colOff>82826</xdr:colOff>
      <xdr:row>2</xdr:row>
      <xdr:rowOff>173935</xdr:rowOff>
    </xdr:to>
    <xdr:pic>
      <xdr:nvPicPr>
        <xdr:cNvPr id="3" name="Imagen 1" descr="UNIVALLE 1988">
          <a:extLst>
            <a:ext uri="{FF2B5EF4-FFF2-40B4-BE49-F238E27FC236}">
              <a16:creationId xmlns:a16="http://schemas.microsoft.com/office/drawing/2014/main" id="{AAD93E23-61DC-42A3-826A-94F97C3A2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217" y="67638"/>
          <a:ext cx="501059" cy="487297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285789</xdr:colOff>
      <xdr:row>0</xdr:row>
      <xdr:rowOff>67638</xdr:rowOff>
    </xdr:from>
    <xdr:to>
      <xdr:col>1</xdr:col>
      <xdr:colOff>504825</xdr:colOff>
      <xdr:row>2</xdr:row>
      <xdr:rowOff>1</xdr:rowOff>
    </xdr:to>
    <xdr:pic>
      <xdr:nvPicPr>
        <xdr:cNvPr id="2" name="Imagen 1" descr="UNIVALLE 1988">
          <a:extLst>
            <a:ext uri="{FF2B5EF4-FFF2-40B4-BE49-F238E27FC236}">
              <a16:creationId xmlns:a16="http://schemas.microsoft.com/office/drawing/2014/main" id="{DC3B97C7-4A30-4CEC-8175-9D730F3E0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89" y="67638"/>
          <a:ext cx="419061" cy="313363"/>
        </a:xfrm>
        <a:prstGeom prst="rect">
          <a:avLst/>
        </a:prstGeom>
        <a:noFill/>
      </xdr:spPr>
    </xdr:pic>
    <xdr:clientData/>
  </xdr:twoCellAnchor>
  <xdr:twoCellAnchor>
    <xdr:from>
      <xdr:col>1</xdr:col>
      <xdr:colOff>867</xdr:colOff>
      <xdr:row>0</xdr:row>
      <xdr:rowOff>67638</xdr:rowOff>
    </xdr:from>
    <xdr:to>
      <xdr:col>2</xdr:col>
      <xdr:colOff>82826</xdr:colOff>
      <xdr:row>2</xdr:row>
      <xdr:rowOff>173935</xdr:rowOff>
    </xdr:to>
    <xdr:pic>
      <xdr:nvPicPr>
        <xdr:cNvPr id="3" name="Imagen 1" descr="UNIVALLE 1988">
          <a:extLst>
            <a:ext uri="{FF2B5EF4-FFF2-40B4-BE49-F238E27FC236}">
              <a16:creationId xmlns:a16="http://schemas.microsoft.com/office/drawing/2014/main" id="{678167A5-FADA-476C-8D05-51C4E9105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217" y="67638"/>
          <a:ext cx="501059" cy="487297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285789</xdr:colOff>
      <xdr:row>0</xdr:row>
      <xdr:rowOff>67638</xdr:rowOff>
    </xdr:from>
    <xdr:to>
      <xdr:col>1</xdr:col>
      <xdr:colOff>504825</xdr:colOff>
      <xdr:row>2</xdr:row>
      <xdr:rowOff>1</xdr:rowOff>
    </xdr:to>
    <xdr:pic>
      <xdr:nvPicPr>
        <xdr:cNvPr id="2" name="Imagen 1" descr="UNIVALLE 1988">
          <a:extLst>
            <a:ext uri="{FF2B5EF4-FFF2-40B4-BE49-F238E27FC236}">
              <a16:creationId xmlns:a16="http://schemas.microsoft.com/office/drawing/2014/main" id="{10FB0491-3A99-42B2-9CA0-711819284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89" y="67638"/>
          <a:ext cx="419061" cy="313363"/>
        </a:xfrm>
        <a:prstGeom prst="rect">
          <a:avLst/>
        </a:prstGeom>
        <a:noFill/>
      </xdr:spPr>
    </xdr:pic>
    <xdr:clientData/>
  </xdr:twoCellAnchor>
  <xdr:twoCellAnchor>
    <xdr:from>
      <xdr:col>1</xdr:col>
      <xdr:colOff>867</xdr:colOff>
      <xdr:row>0</xdr:row>
      <xdr:rowOff>67638</xdr:rowOff>
    </xdr:from>
    <xdr:to>
      <xdr:col>2</xdr:col>
      <xdr:colOff>82826</xdr:colOff>
      <xdr:row>2</xdr:row>
      <xdr:rowOff>173935</xdr:rowOff>
    </xdr:to>
    <xdr:pic>
      <xdr:nvPicPr>
        <xdr:cNvPr id="3" name="Imagen 1" descr="UNIVALLE 1988">
          <a:extLst>
            <a:ext uri="{FF2B5EF4-FFF2-40B4-BE49-F238E27FC236}">
              <a16:creationId xmlns:a16="http://schemas.microsoft.com/office/drawing/2014/main" id="{33514CA6-D73D-4C9F-A395-FF251A593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217" y="67638"/>
          <a:ext cx="501059" cy="487297"/>
        </a:xfrm>
        <a:prstGeom prst="rect">
          <a:avLst/>
        </a:prstGeom>
        <a:noFill/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D79DB5-4EB0-42A5-93D3-E274442C4283}" name="Tabla1" displayName="Tabla1" ref="A1:AH111" totalsRowShown="0" headerRowDxfId="80" tableBorderDxfId="79">
  <autoFilter ref="A1:AH111" xr:uid="{FCD9E4A5-7792-496E-8D67-281F6C5B7760}"/>
  <tableColumns count="34">
    <tableColumn id="1" xr3:uid="{FCF3EB98-BBBD-488C-B412-62041BDA7177}" name="Item" dataDxfId="78">
      <calculatedColumnFormula>A1+1</calculatedColumnFormula>
    </tableColumn>
    <tableColumn id="2" xr3:uid="{EE7EF5C1-CFCD-45A6-8AFC-FC42A34DE0F0}" name="MATERIAL" dataDxfId="77"/>
    <tableColumn id="3" xr3:uid="{A44307CD-9A24-4E6E-B78E-59206CF3EA07}" name="Cantidad" dataDxfId="76"/>
    <tableColumn id="4" xr3:uid="{0D72BA9F-B577-4DE6-BD02-25A84ED52426}" name="Unid." dataDxfId="75"/>
    <tableColumn id="7" xr3:uid="{0616B12F-A4C5-4971-9F59-89846C46F16F}" name="TIPO" dataDxfId="74"/>
    <tableColumn id="8" xr3:uid="{26A0DA5A-48B8-4499-9671-1D995CDFA9FA}" name="CARRERA" dataDxfId="73"/>
    <tableColumn id="9" xr3:uid="{53158BD5-7BC8-4CCA-8DA1-770A26985890}" name="LLEGADA DEL ITEM" dataDxfId="72"/>
    <tableColumn id="10" xr3:uid="{4DC9A3AC-6969-4C8E-9BB1-9E0731CB1D66}" name="OBSERVACIONES" dataDxfId="71"/>
    <tableColumn id="22" xr3:uid="{FDC95A8A-0B3D-4DC0-B628-BE7024060FA3}" name="SAL 0" dataDxfId="70"/>
    <tableColumn id="11" xr3:uid="{61C62373-C1DF-4277-B8A8-6E3F614CBB26}" name="SAL 1" dataDxfId="69"/>
    <tableColumn id="12" xr3:uid="{DDEA42BA-626E-404E-AE7A-0CDC2C177CBE}" name="SAL2" dataDxfId="68"/>
    <tableColumn id="13" xr3:uid="{658EBED9-16F9-49F9-8E12-E4932608453E}" name="SAL3" dataDxfId="67"/>
    <tableColumn id="14" xr3:uid="{5CAB63BB-49CD-4E4B-AB3E-FAB76A0B5984}" name="SAL 4" dataDxfId="66"/>
    <tableColumn id="15" xr3:uid="{711079E9-7A66-4DBD-916B-FE2BF2CC3C4F}" name="SAL 5" dataDxfId="65"/>
    <tableColumn id="16" xr3:uid="{11C54986-01F9-4085-847A-22E7BD20E747}" name="SAL 6" dataDxfId="64"/>
    <tableColumn id="17" xr3:uid="{200D2CF0-B6A0-4159-BEAB-51AD71D9CF66}" name="SAL 7" dataDxfId="63"/>
    <tableColumn id="26" xr3:uid="{4FC64DB0-818E-430F-93E7-3D42673A09C1}" name="SAL 8" dataDxfId="62"/>
    <tableColumn id="27" xr3:uid="{B0568039-60EC-41BE-94A2-F56896D1FD44}" name="SAL 9" dataDxfId="61"/>
    <tableColumn id="28" xr3:uid="{CC8B020C-85ED-4873-BAF3-7DB7B21583F2}" name="SAL 10" dataDxfId="60"/>
    <tableColumn id="29" xr3:uid="{718D9EB3-CFE2-4535-AD0A-89C02C2EA608}" name="SAL 11" dataDxfId="59"/>
    <tableColumn id="30" xr3:uid="{BC79D700-6686-47D3-B6A1-259128C8CC01}" name="SAL 12" dataDxfId="58"/>
    <tableColumn id="31" xr3:uid="{E1791AE6-33E6-4438-A86A-3EF607CB1BE3}" name="SAL 13" dataDxfId="57"/>
    <tableColumn id="32" xr3:uid="{E3CC51BC-19DE-4611-951C-C7D024E89FE1}" name="SAL 14" dataDxfId="56"/>
    <tableColumn id="33" xr3:uid="{D400FC17-64A3-4DDC-92A3-02FA10006A75}" name="SAL 15" dataDxfId="55"/>
    <tableColumn id="34" xr3:uid="{FADB1DC4-8989-412B-8F33-D21A568B6240}" name="SAL 16" dataDxfId="54"/>
    <tableColumn id="5" xr3:uid="{FA946CD3-E3D9-4C92-B2B6-53CA26B291D4}" name="SAL 17" dataDxfId="53"/>
    <tableColumn id="6" xr3:uid="{C4744AC8-F9D0-4456-AEA0-A835CB598D82}" name="SAL 18" dataDxfId="52"/>
    <tableColumn id="23" xr3:uid="{E34D098F-96EC-4873-8B87-2C2B9DE49D0C}" name="SAL 19" dataDxfId="51"/>
    <tableColumn id="18" xr3:uid="{1C736D04-380B-4B0B-9B64-1C1A5615EBBD}" name="SAL 20" dataDxfId="50"/>
    <tableColumn id="19" xr3:uid="{CB967726-A29C-4C15-8635-FD36535B1F3E}" name="SAL 21" dataDxfId="49"/>
    <tableColumn id="20" xr3:uid="{17BEFBE1-8ABD-4C0E-86AA-7F3027131F4E}" name="SAL 22" dataDxfId="48"/>
    <tableColumn id="25" xr3:uid="{6EC9A856-3832-4B2A-B65F-DD817DCEA17E}" name="SAL 23" dataDxfId="47"/>
    <tableColumn id="24" xr3:uid="{8DF21EE3-F993-4090-8356-FA3A8FA92E44}" name="SAL 24" dataDxfId="46"/>
    <tableColumn id="21" xr3:uid="{8E8076B6-D72B-4746-9272-863BCD6D269D}" name="SALDO ECONOMATO" dataDxfId="45">
      <calculatedColumnFormula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3BD93F-7ED6-4F1F-BAC5-44771FDB92C5}" name="Tabla13" displayName="Tabla13" ref="A1:AH135" totalsRowShown="0" headerRowDxfId="44" tableBorderDxfId="43">
  <autoFilter ref="A1:AH135" xr:uid="{FCD9E4A5-7792-496E-8D67-281F6C5B7760}">
    <filterColumn colId="4">
      <filters>
        <filter val="MATERIAL LIMPIEZA LABORATORIOS"/>
      </filters>
    </filterColumn>
  </autoFilter>
  <tableColumns count="34">
    <tableColumn id="1" xr3:uid="{C7F8F9CB-B0C8-443D-9038-9171FD830938}" name="Item" dataDxfId="42">
      <calculatedColumnFormula>A1+1</calculatedColumnFormula>
    </tableColumn>
    <tableColumn id="2" xr3:uid="{F88C417C-6248-4EA7-B8D2-65B80A628F40}" name="MATERIAL" dataDxfId="41"/>
    <tableColumn id="3" xr3:uid="{5EB7CE76-495F-4437-83D4-83261B79D21A}" name="Cantidad" dataDxfId="40"/>
    <tableColumn id="4" xr3:uid="{1A805ADF-01E7-4B0B-A6C8-FD2B36395C44}" name="Unid." dataDxfId="39"/>
    <tableColumn id="7" xr3:uid="{E3FF3732-AADD-4F47-9D1C-FFBECBA16D1E}" name="TIPO" dataDxfId="38"/>
    <tableColumn id="8" xr3:uid="{4E3B2CBD-75E9-4DF6-B7F6-178DA0C30A5C}" name="CARRERA" dataDxfId="37"/>
    <tableColumn id="9" xr3:uid="{2710B744-5994-4C71-8000-7B7422806BC4}" name="LLEGADA DEL ITEM" dataDxfId="36"/>
    <tableColumn id="10" xr3:uid="{53D32CB4-44A9-4392-A4C8-2FC48D0BE71C}" name="OBSERVACIONES" dataDxfId="35"/>
    <tableColumn id="22" xr3:uid="{02D3A177-A7BB-4A2B-A261-980775A57BB5}" name="SAL 0" dataDxfId="34"/>
    <tableColumn id="11" xr3:uid="{C44CE462-1687-43C0-886C-88DB0E42E924}" name="SAL 1" dataDxfId="33"/>
    <tableColumn id="12" xr3:uid="{C10C2223-E415-435E-AFD1-7B8D84FA02CC}" name="SAL2" dataDxfId="32"/>
    <tableColumn id="13" xr3:uid="{10C822A8-2AA4-41BF-A30D-937186E5E96C}" name="SAL3" dataDxfId="31"/>
    <tableColumn id="14" xr3:uid="{085FC1B0-7BAD-4A0D-BAAC-40214A866E24}" name="SAL 4" dataDxfId="30"/>
    <tableColumn id="15" xr3:uid="{99FB910C-8D4F-4724-8A40-A438681881F4}" name="SAL 5" dataDxfId="29"/>
    <tableColumn id="16" xr3:uid="{01A69885-1AD2-4DB2-BA90-D899C285C603}" name="SAL 6" dataDxfId="28"/>
    <tableColumn id="17" xr3:uid="{23CE38D9-4837-4704-B115-FE5CB00BA826}" name="SAL 7" dataDxfId="27"/>
    <tableColumn id="26" xr3:uid="{6C756626-C2C3-4ADF-8A49-10CA8284F320}" name="SAL 8" dataDxfId="26"/>
    <tableColumn id="27" xr3:uid="{0DE90202-7EF4-4652-A521-F57C2DFBC097}" name="SAL 9" dataDxfId="25"/>
    <tableColumn id="28" xr3:uid="{7629CCAD-D1B5-4CBE-934B-2B95F096FD6E}" name="SAL 10" dataDxfId="24"/>
    <tableColumn id="29" xr3:uid="{42F8EB08-3188-4B4E-9E12-04A52F7F3CEB}" name="SAL 11" dataDxfId="23"/>
    <tableColumn id="30" xr3:uid="{D527E1F4-58D1-46C4-B563-68E0532CF35D}" name="SAL 12" dataDxfId="22"/>
    <tableColumn id="31" xr3:uid="{64FF9D43-19B0-4C91-A5B8-D9101B13AE3E}" name="SAL 13" dataDxfId="21"/>
    <tableColumn id="32" xr3:uid="{0FB6430D-DCDF-4AAE-82AA-64EB8B00D4D4}" name="SAL 14" dataDxfId="20"/>
    <tableColumn id="33" xr3:uid="{5D9D3314-8E98-4ED6-9BB7-62139E439E8A}" name="SAL 15" dataDxfId="19"/>
    <tableColumn id="34" xr3:uid="{2CD361E4-C80F-406F-A006-B619DEA2CF79}" name="SAL 16" dataDxfId="18"/>
    <tableColumn id="5" xr3:uid="{4C55BB66-D4B2-4A6C-9B78-80A11D2B7724}" name="SAL 17" dataDxfId="17"/>
    <tableColumn id="6" xr3:uid="{3B0A619A-C6A2-4E86-9D60-42E9E328CBA8}" name="SAL 18" dataDxfId="16"/>
    <tableColumn id="23" xr3:uid="{5272E093-F574-4394-86BB-83665BBE5A26}" name="SAL 19" dataDxfId="15"/>
    <tableColumn id="18" xr3:uid="{F8B498AD-399F-407D-A69F-71668696E7D5}" name="SAL 20" dataDxfId="14"/>
    <tableColumn id="19" xr3:uid="{F3A22D5E-F28E-4BBD-9A6A-63A77243AD07}" name="SAL 21" dataDxfId="13"/>
    <tableColumn id="20" xr3:uid="{0AA954BC-D92A-4904-842D-383686913D8F}" name="SAL 22" dataDxfId="12"/>
    <tableColumn id="25" xr3:uid="{8DEC6588-2FE7-412C-9A87-E89491FDDC98}" name="SAL 23" dataDxfId="11"/>
    <tableColumn id="24" xr3:uid="{BC56A6F5-A64D-4477-9970-F9E2D0C77B96}" name="SAL 24" dataDxfId="10"/>
    <tableColumn id="21" xr3:uid="{89A0243C-9E17-4EC3-A32D-D6AFD87953C6}" name="SALDO ECONOMATO" dataDxfId="9">
      <calculatedColumnFormula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7B1FB-4DFE-4850-97EA-D52EAA95DCA1}">
  <sheetPr>
    <tabColor theme="9" tint="-0.499984740745262"/>
  </sheetPr>
  <dimension ref="A1:AH119"/>
  <sheetViews>
    <sheetView zoomScale="70" zoomScaleNormal="70" workbookViewId="0">
      <selection activeCell="B12" sqref="B12"/>
    </sheetView>
  </sheetViews>
  <sheetFormatPr baseColWidth="10" defaultRowHeight="15" x14ac:dyDescent="0.25"/>
  <cols>
    <col min="1" max="1" width="7.28515625" customWidth="1"/>
    <col min="2" max="2" width="36.28515625" style="53" customWidth="1"/>
    <col min="3" max="3" width="13.42578125" customWidth="1"/>
    <col min="5" max="5" width="15.7109375" customWidth="1"/>
    <col min="6" max="6" width="11.42578125" style="19"/>
    <col min="7" max="7" width="14.85546875" customWidth="1"/>
    <col min="8" max="8" width="20.140625" customWidth="1"/>
    <col min="9" max="9" width="11.85546875" customWidth="1"/>
    <col min="10" max="21" width="11.42578125" customWidth="1"/>
    <col min="22" max="33" width="11.42578125" hidden="1" customWidth="1"/>
  </cols>
  <sheetData>
    <row r="1" spans="1:34" ht="45" customHeight="1" thickBot="1" x14ac:dyDescent="0.3">
      <c r="A1" s="58" t="s">
        <v>33</v>
      </c>
      <c r="B1" s="59" t="s">
        <v>34</v>
      </c>
      <c r="C1" s="59" t="s">
        <v>35</v>
      </c>
      <c r="D1" s="59" t="s">
        <v>36</v>
      </c>
      <c r="E1" s="59" t="s">
        <v>37</v>
      </c>
      <c r="F1" s="60" t="s">
        <v>38</v>
      </c>
      <c r="G1" s="71" t="s">
        <v>39</v>
      </c>
      <c r="H1" s="77" t="s">
        <v>40</v>
      </c>
      <c r="I1" s="67" t="s">
        <v>169</v>
      </c>
      <c r="J1" s="54" t="s">
        <v>158</v>
      </c>
      <c r="K1" s="33" t="s">
        <v>159</v>
      </c>
      <c r="L1" s="33" t="s">
        <v>160</v>
      </c>
      <c r="M1" s="33" t="s">
        <v>161</v>
      </c>
      <c r="N1" s="33" t="s">
        <v>162</v>
      </c>
      <c r="O1" s="33" t="s">
        <v>163</v>
      </c>
      <c r="P1" s="67" t="s">
        <v>164</v>
      </c>
      <c r="Q1" s="54" t="s">
        <v>165</v>
      </c>
      <c r="R1" s="33" t="s">
        <v>166</v>
      </c>
      <c r="S1" s="33" t="s">
        <v>167</v>
      </c>
      <c r="T1" s="33" t="s">
        <v>176</v>
      </c>
      <c r="U1" s="33" t="s">
        <v>177</v>
      </c>
      <c r="V1" s="33" t="s">
        <v>178</v>
      </c>
      <c r="W1" s="67" t="s">
        <v>179</v>
      </c>
      <c r="X1" s="54" t="s">
        <v>180</v>
      </c>
      <c r="Y1" s="33" t="s">
        <v>185</v>
      </c>
      <c r="Z1" s="33" t="s">
        <v>186</v>
      </c>
      <c r="AA1" s="67" t="s">
        <v>187</v>
      </c>
      <c r="AB1" s="54" t="s">
        <v>188</v>
      </c>
      <c r="AC1" s="33" t="s">
        <v>189</v>
      </c>
      <c r="AD1" s="54" t="s">
        <v>190</v>
      </c>
      <c r="AE1" s="33" t="s">
        <v>191</v>
      </c>
      <c r="AF1" s="54" t="s">
        <v>192</v>
      </c>
      <c r="AG1" s="33" t="s">
        <v>193</v>
      </c>
      <c r="AH1" s="33" t="s">
        <v>168</v>
      </c>
    </row>
    <row r="2" spans="1:34" s="34" customFormat="1" ht="33.75" x14ac:dyDescent="0.25">
      <c r="A2" s="61">
        <v>1</v>
      </c>
      <c r="B2" s="35" t="s">
        <v>41</v>
      </c>
      <c r="C2" s="36">
        <v>250</v>
      </c>
      <c r="D2" s="35" t="s">
        <v>36</v>
      </c>
      <c r="E2" s="35" t="s">
        <v>42</v>
      </c>
      <c r="F2" s="55" t="s">
        <v>43</v>
      </c>
      <c r="G2" s="72" t="s">
        <v>44</v>
      </c>
      <c r="H2" s="78"/>
      <c r="I2" s="75">
        <v>250</v>
      </c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3" spans="1:34" s="34" customFormat="1" ht="33.75" x14ac:dyDescent="0.25">
      <c r="A3" s="62">
        <f>A2+1</f>
        <v>2</v>
      </c>
      <c r="B3" s="35" t="s">
        <v>45</v>
      </c>
      <c r="C3" s="36">
        <v>1</v>
      </c>
      <c r="D3" s="35" t="s">
        <v>46</v>
      </c>
      <c r="E3" s="37" t="s">
        <v>42</v>
      </c>
      <c r="F3" s="55" t="s">
        <v>43</v>
      </c>
      <c r="G3" s="73" t="s">
        <v>44</v>
      </c>
      <c r="H3" s="79"/>
      <c r="I3" s="75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1</v>
      </c>
    </row>
    <row r="4" spans="1:34" s="34" customFormat="1" ht="33.75" x14ac:dyDescent="0.25">
      <c r="A4" s="62">
        <f t="shared" ref="A4:A38" si="0">A3+1</f>
        <v>3</v>
      </c>
      <c r="B4" s="35" t="s">
        <v>48</v>
      </c>
      <c r="C4" s="36">
        <v>1</v>
      </c>
      <c r="D4" s="35" t="s">
        <v>29</v>
      </c>
      <c r="E4" s="35" t="s">
        <v>42</v>
      </c>
      <c r="F4" s="55" t="s">
        <v>43</v>
      </c>
      <c r="G4" s="73" t="s">
        <v>44</v>
      </c>
      <c r="H4" s="79"/>
      <c r="I4" s="75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1</v>
      </c>
    </row>
    <row r="5" spans="1:34" s="34" customFormat="1" ht="33.75" x14ac:dyDescent="0.25">
      <c r="A5" s="62">
        <f t="shared" si="0"/>
        <v>4</v>
      </c>
      <c r="B5" s="35" t="s">
        <v>49</v>
      </c>
      <c r="C5" s="36">
        <v>1</v>
      </c>
      <c r="D5" s="35" t="s">
        <v>29</v>
      </c>
      <c r="E5" s="35" t="s">
        <v>42</v>
      </c>
      <c r="F5" s="55" t="s">
        <v>43</v>
      </c>
      <c r="G5" s="73" t="s">
        <v>44</v>
      </c>
      <c r="H5" s="79"/>
      <c r="I5" s="75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1</v>
      </c>
    </row>
    <row r="6" spans="1:34" s="34" customFormat="1" ht="33.75" x14ac:dyDescent="0.25">
      <c r="A6" s="62">
        <f t="shared" si="0"/>
        <v>5</v>
      </c>
      <c r="B6" s="35" t="s">
        <v>50</v>
      </c>
      <c r="C6" s="36">
        <v>1</v>
      </c>
      <c r="D6" s="35" t="s">
        <v>29</v>
      </c>
      <c r="E6" s="35" t="s">
        <v>42</v>
      </c>
      <c r="F6" s="55" t="s">
        <v>43</v>
      </c>
      <c r="G6" s="73" t="s">
        <v>44</v>
      </c>
      <c r="H6" s="79"/>
      <c r="I6" s="75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1</v>
      </c>
    </row>
    <row r="7" spans="1:34" s="34" customFormat="1" ht="33.75" x14ac:dyDescent="0.25">
      <c r="A7" s="62">
        <f t="shared" si="0"/>
        <v>6</v>
      </c>
      <c r="B7" s="35" t="s">
        <v>51</v>
      </c>
      <c r="C7" s="36">
        <v>5</v>
      </c>
      <c r="D7" s="35" t="s">
        <v>36</v>
      </c>
      <c r="E7" s="35" t="s">
        <v>42</v>
      </c>
      <c r="F7" s="55" t="s">
        <v>43</v>
      </c>
      <c r="G7" s="73" t="s">
        <v>44</v>
      </c>
      <c r="H7" s="79"/>
      <c r="I7" s="75">
        <v>5</v>
      </c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8" spans="1:34" s="34" customFormat="1" ht="33.75" x14ac:dyDescent="0.25">
      <c r="A8" s="62">
        <f t="shared" si="0"/>
        <v>7</v>
      </c>
      <c r="B8" s="35" t="s">
        <v>52</v>
      </c>
      <c r="C8" s="36">
        <v>5</v>
      </c>
      <c r="D8" s="35" t="s">
        <v>36</v>
      </c>
      <c r="E8" s="35" t="s">
        <v>42</v>
      </c>
      <c r="F8" s="55" t="s">
        <v>43</v>
      </c>
      <c r="G8" s="73" t="s">
        <v>44</v>
      </c>
      <c r="H8" s="79"/>
      <c r="I8" s="75">
        <v>5</v>
      </c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9" spans="1:34" s="34" customFormat="1" ht="33.75" x14ac:dyDescent="0.25">
      <c r="A9" s="62">
        <f t="shared" si="0"/>
        <v>8</v>
      </c>
      <c r="B9" s="35" t="s">
        <v>53</v>
      </c>
      <c r="C9" s="36">
        <v>50</v>
      </c>
      <c r="D9" s="35" t="s">
        <v>36</v>
      </c>
      <c r="E9" s="35" t="s">
        <v>42</v>
      </c>
      <c r="F9" s="55" t="s">
        <v>43</v>
      </c>
      <c r="G9" s="73" t="s">
        <v>44</v>
      </c>
      <c r="H9" s="79"/>
      <c r="I9" s="75">
        <v>50</v>
      </c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10" spans="1:34" s="34" customFormat="1" ht="33.75" x14ac:dyDescent="0.25">
      <c r="A10" s="62">
        <f>A8+1</f>
        <v>8</v>
      </c>
      <c r="B10" s="35" t="s">
        <v>54</v>
      </c>
      <c r="C10" s="36">
        <v>10</v>
      </c>
      <c r="D10" s="35" t="s">
        <v>36</v>
      </c>
      <c r="E10" s="35" t="s">
        <v>42</v>
      </c>
      <c r="F10" s="55" t="s">
        <v>43</v>
      </c>
      <c r="G10" s="73" t="s">
        <v>44</v>
      </c>
      <c r="H10" s="79"/>
      <c r="I10" s="75">
        <v>10</v>
      </c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11" spans="1:34" s="34" customFormat="1" ht="33.75" x14ac:dyDescent="0.25">
      <c r="A11" s="62">
        <f t="shared" si="0"/>
        <v>9</v>
      </c>
      <c r="B11" s="35" t="s">
        <v>55</v>
      </c>
      <c r="C11" s="36">
        <v>5</v>
      </c>
      <c r="D11" s="35" t="s">
        <v>36</v>
      </c>
      <c r="E11" s="35" t="s">
        <v>42</v>
      </c>
      <c r="F11" s="55" t="s">
        <v>43</v>
      </c>
      <c r="G11" s="73" t="s">
        <v>44</v>
      </c>
      <c r="H11" s="79"/>
      <c r="I11" s="75">
        <v>5</v>
      </c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12" spans="1:34" s="34" customFormat="1" ht="33.75" x14ac:dyDescent="0.25">
      <c r="A12" s="62">
        <f t="shared" si="0"/>
        <v>10</v>
      </c>
      <c r="B12" s="35" t="s">
        <v>56</v>
      </c>
      <c r="C12" s="36">
        <v>250</v>
      </c>
      <c r="D12" s="35" t="s">
        <v>36</v>
      </c>
      <c r="E12" s="35" t="s">
        <v>42</v>
      </c>
      <c r="F12" s="55" t="s">
        <v>43</v>
      </c>
      <c r="G12" s="73" t="s">
        <v>44</v>
      </c>
      <c r="H12" s="79"/>
      <c r="I12" s="75"/>
      <c r="J12" s="68"/>
      <c r="K12" s="68">
        <v>50</v>
      </c>
      <c r="L12" s="68"/>
      <c r="M12" s="68"/>
      <c r="N12" s="68"/>
      <c r="O12" s="68"/>
      <c r="P12" s="68">
        <v>50</v>
      </c>
      <c r="Q12" s="68"/>
      <c r="R12" s="68">
        <v>50</v>
      </c>
      <c r="S12" s="68">
        <v>50</v>
      </c>
      <c r="T12" s="68">
        <v>50</v>
      </c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13" spans="1:34" s="34" customFormat="1" ht="33.75" x14ac:dyDescent="0.25">
      <c r="A13" s="62">
        <f t="shared" si="0"/>
        <v>11</v>
      </c>
      <c r="B13" s="35" t="s">
        <v>57</v>
      </c>
      <c r="C13" s="36">
        <v>1</v>
      </c>
      <c r="D13" s="35" t="s">
        <v>36</v>
      </c>
      <c r="E13" s="35" t="s">
        <v>42</v>
      </c>
      <c r="F13" s="55" t="s">
        <v>43</v>
      </c>
      <c r="G13" s="73" t="s">
        <v>44</v>
      </c>
      <c r="H13" s="79"/>
      <c r="I13" s="75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1</v>
      </c>
    </row>
    <row r="14" spans="1:34" s="34" customFormat="1" ht="33.75" x14ac:dyDescent="0.25">
      <c r="A14" s="62">
        <f t="shared" si="0"/>
        <v>12</v>
      </c>
      <c r="B14" s="35" t="s">
        <v>58</v>
      </c>
      <c r="C14" s="36">
        <v>5</v>
      </c>
      <c r="D14" s="35" t="s">
        <v>59</v>
      </c>
      <c r="E14" s="35" t="s">
        <v>42</v>
      </c>
      <c r="F14" s="55" t="s">
        <v>43</v>
      </c>
      <c r="G14" s="73" t="s">
        <v>44</v>
      </c>
      <c r="H14" s="79"/>
      <c r="I14" s="75">
        <v>5</v>
      </c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15" spans="1:34" s="34" customFormat="1" ht="33.75" x14ac:dyDescent="0.25">
      <c r="A15" s="62">
        <f t="shared" si="0"/>
        <v>13</v>
      </c>
      <c r="B15" s="35" t="s">
        <v>60</v>
      </c>
      <c r="C15" s="36">
        <v>6</v>
      </c>
      <c r="D15" s="35" t="s">
        <v>36</v>
      </c>
      <c r="E15" s="35" t="s">
        <v>42</v>
      </c>
      <c r="F15" s="55" t="s">
        <v>43</v>
      </c>
      <c r="G15" s="73" t="s">
        <v>44</v>
      </c>
      <c r="H15" s="79"/>
      <c r="I15" s="75">
        <v>6</v>
      </c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16" spans="1:34" s="34" customFormat="1" ht="33.75" x14ac:dyDescent="0.25">
      <c r="A16" s="62">
        <f t="shared" si="0"/>
        <v>14</v>
      </c>
      <c r="B16" s="35" t="s">
        <v>61</v>
      </c>
      <c r="C16" s="36">
        <v>6</v>
      </c>
      <c r="D16" s="35" t="s">
        <v>36</v>
      </c>
      <c r="E16" s="35" t="s">
        <v>42</v>
      </c>
      <c r="F16" s="55" t="s">
        <v>43</v>
      </c>
      <c r="G16" s="73" t="s">
        <v>44</v>
      </c>
      <c r="H16" s="79"/>
      <c r="I16" s="75">
        <v>6</v>
      </c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17" spans="1:34" s="34" customFormat="1" ht="33.75" x14ac:dyDescent="0.25">
      <c r="A17" s="62">
        <f t="shared" si="0"/>
        <v>15</v>
      </c>
      <c r="B17" s="35" t="s">
        <v>62</v>
      </c>
      <c r="C17" s="36">
        <v>1</v>
      </c>
      <c r="D17" s="35" t="s">
        <v>36</v>
      </c>
      <c r="E17" s="35" t="s">
        <v>42</v>
      </c>
      <c r="F17" s="55" t="s">
        <v>43</v>
      </c>
      <c r="G17" s="73" t="s">
        <v>44</v>
      </c>
      <c r="H17" s="79"/>
      <c r="I17" s="75">
        <v>1</v>
      </c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18" spans="1:34" s="34" customFormat="1" ht="33.75" x14ac:dyDescent="0.25">
      <c r="A18" s="62">
        <f t="shared" si="0"/>
        <v>16</v>
      </c>
      <c r="B18" s="35" t="s">
        <v>63</v>
      </c>
      <c r="C18" s="36">
        <v>24</v>
      </c>
      <c r="D18" s="35" t="s">
        <v>36</v>
      </c>
      <c r="E18" s="35" t="s">
        <v>42</v>
      </c>
      <c r="F18" s="55" t="s">
        <v>43</v>
      </c>
      <c r="G18" s="73" t="s">
        <v>44</v>
      </c>
      <c r="H18" s="79"/>
      <c r="I18" s="75">
        <v>24</v>
      </c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19" spans="1:34" s="34" customFormat="1" ht="33.75" x14ac:dyDescent="0.25">
      <c r="A19" s="62">
        <f t="shared" si="0"/>
        <v>17</v>
      </c>
      <c r="B19" s="35" t="s">
        <v>64</v>
      </c>
      <c r="C19" s="36">
        <v>30</v>
      </c>
      <c r="D19" s="35" t="s">
        <v>36</v>
      </c>
      <c r="E19" s="35" t="s">
        <v>42</v>
      </c>
      <c r="F19" s="55" t="s">
        <v>43</v>
      </c>
      <c r="G19" s="73" t="s">
        <v>44</v>
      </c>
      <c r="H19" s="79" t="s">
        <v>65</v>
      </c>
      <c r="I19" s="75">
        <v>30</v>
      </c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20" spans="1:34" s="34" customFormat="1" ht="33.75" x14ac:dyDescent="0.25">
      <c r="A20" s="62">
        <f t="shared" si="0"/>
        <v>18</v>
      </c>
      <c r="B20" s="35" t="s">
        <v>66</v>
      </c>
      <c r="C20" s="36">
        <v>50</v>
      </c>
      <c r="D20" s="35" t="s">
        <v>36</v>
      </c>
      <c r="E20" s="35" t="s">
        <v>42</v>
      </c>
      <c r="F20" s="55" t="s">
        <v>43</v>
      </c>
      <c r="G20" s="73" t="s">
        <v>44</v>
      </c>
      <c r="H20" s="79"/>
      <c r="I20" s="75"/>
      <c r="J20" s="68"/>
      <c r="K20" s="68">
        <v>10</v>
      </c>
      <c r="L20" s="68"/>
      <c r="M20" s="68">
        <v>10</v>
      </c>
      <c r="N20" s="68"/>
      <c r="O20" s="68"/>
      <c r="P20" s="68"/>
      <c r="Q20" s="68"/>
      <c r="R20" s="68">
        <v>10</v>
      </c>
      <c r="S20" s="68">
        <v>15</v>
      </c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5</v>
      </c>
    </row>
    <row r="21" spans="1:34" s="34" customFormat="1" ht="33.75" x14ac:dyDescent="0.25">
      <c r="A21" s="62">
        <f t="shared" si="0"/>
        <v>19</v>
      </c>
      <c r="B21" s="35" t="s">
        <v>67</v>
      </c>
      <c r="C21" s="36">
        <v>50</v>
      </c>
      <c r="D21" s="35" t="s">
        <v>36</v>
      </c>
      <c r="E21" s="35" t="s">
        <v>42</v>
      </c>
      <c r="F21" s="55" t="s">
        <v>43</v>
      </c>
      <c r="G21" s="73" t="s">
        <v>44</v>
      </c>
      <c r="H21" s="79"/>
      <c r="I21" s="75"/>
      <c r="J21" s="68"/>
      <c r="K21" s="68">
        <v>10</v>
      </c>
      <c r="L21" s="68"/>
      <c r="M21" s="68">
        <v>10</v>
      </c>
      <c r="N21" s="68"/>
      <c r="O21" s="68"/>
      <c r="P21" s="68">
        <v>10</v>
      </c>
      <c r="Q21" s="68"/>
      <c r="R21" s="68"/>
      <c r="S21" s="68"/>
      <c r="T21" s="68">
        <v>10</v>
      </c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10</v>
      </c>
    </row>
    <row r="22" spans="1:34" s="34" customFormat="1" ht="33.75" x14ac:dyDescent="0.25">
      <c r="A22" s="62">
        <f t="shared" si="0"/>
        <v>20</v>
      </c>
      <c r="B22" s="37" t="s">
        <v>68</v>
      </c>
      <c r="C22" s="38">
        <v>70</v>
      </c>
      <c r="D22" s="37" t="s">
        <v>36</v>
      </c>
      <c r="E22" s="35" t="s">
        <v>42</v>
      </c>
      <c r="F22" s="55" t="s">
        <v>43</v>
      </c>
      <c r="G22" s="73" t="s">
        <v>44</v>
      </c>
      <c r="H22" s="79"/>
      <c r="I22" s="75"/>
      <c r="J22" s="68"/>
      <c r="K22" s="68">
        <v>10</v>
      </c>
      <c r="L22" s="68"/>
      <c r="M22" s="68">
        <v>10</v>
      </c>
      <c r="N22" s="68"/>
      <c r="O22" s="68"/>
      <c r="P22" s="68">
        <v>15</v>
      </c>
      <c r="Q22" s="68"/>
      <c r="R22" s="68">
        <v>10</v>
      </c>
      <c r="S22" s="68"/>
      <c r="T22" s="68">
        <v>15</v>
      </c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10</v>
      </c>
    </row>
    <row r="23" spans="1:34" s="34" customFormat="1" ht="33.75" x14ac:dyDescent="0.25">
      <c r="A23" s="62">
        <f t="shared" si="0"/>
        <v>21</v>
      </c>
      <c r="B23" s="35" t="s">
        <v>69</v>
      </c>
      <c r="C23" s="36">
        <v>10</v>
      </c>
      <c r="D23" s="35" t="s">
        <v>36</v>
      </c>
      <c r="E23" s="35" t="s">
        <v>42</v>
      </c>
      <c r="F23" s="55" t="s">
        <v>43</v>
      </c>
      <c r="G23" s="73" t="s">
        <v>44</v>
      </c>
      <c r="H23" s="79"/>
      <c r="I23" s="75">
        <v>10</v>
      </c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24" spans="1:34" s="34" customFormat="1" ht="33.75" x14ac:dyDescent="0.25">
      <c r="A24" s="62">
        <f t="shared" si="0"/>
        <v>22</v>
      </c>
      <c r="B24" s="35" t="s">
        <v>70</v>
      </c>
      <c r="C24" s="36">
        <v>2</v>
      </c>
      <c r="D24" s="35" t="s">
        <v>36</v>
      </c>
      <c r="E24" s="35" t="s">
        <v>42</v>
      </c>
      <c r="F24" s="55" t="s">
        <v>43</v>
      </c>
      <c r="G24" s="73" t="s">
        <v>44</v>
      </c>
      <c r="H24" s="79"/>
      <c r="I24" s="75"/>
      <c r="J24" s="68"/>
      <c r="K24" s="68">
        <v>2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25" spans="1:34" s="34" customFormat="1" ht="33.75" x14ac:dyDescent="0.25">
      <c r="A25" s="62">
        <f t="shared" si="0"/>
        <v>23</v>
      </c>
      <c r="B25" s="35" t="s">
        <v>71</v>
      </c>
      <c r="C25" s="36">
        <v>2</v>
      </c>
      <c r="D25" s="35" t="s">
        <v>36</v>
      </c>
      <c r="E25" s="35" t="s">
        <v>42</v>
      </c>
      <c r="F25" s="55" t="s">
        <v>43</v>
      </c>
      <c r="G25" s="73" t="s">
        <v>44</v>
      </c>
      <c r="H25" s="79"/>
      <c r="I25" s="75"/>
      <c r="J25" s="68"/>
      <c r="K25" s="68">
        <v>2</v>
      </c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26" spans="1:34" s="34" customFormat="1" ht="33.75" x14ac:dyDescent="0.25">
      <c r="A26" s="62">
        <f t="shared" si="0"/>
        <v>24</v>
      </c>
      <c r="B26" s="35" t="s">
        <v>72</v>
      </c>
      <c r="C26" s="36">
        <v>3</v>
      </c>
      <c r="D26" s="35" t="s">
        <v>46</v>
      </c>
      <c r="E26" s="35" t="s">
        <v>42</v>
      </c>
      <c r="F26" s="55" t="s">
        <v>43</v>
      </c>
      <c r="G26" s="73" t="s">
        <v>47</v>
      </c>
      <c r="H26" s="79"/>
      <c r="I26" s="75">
        <v>3</v>
      </c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27" spans="1:34" s="34" customFormat="1" ht="33.75" x14ac:dyDescent="0.25">
      <c r="A27" s="62">
        <f t="shared" si="0"/>
        <v>25</v>
      </c>
      <c r="B27" s="35" t="s">
        <v>73</v>
      </c>
      <c r="C27" s="36">
        <v>100</v>
      </c>
      <c r="D27" s="35" t="s">
        <v>74</v>
      </c>
      <c r="E27" s="35" t="s">
        <v>42</v>
      </c>
      <c r="F27" s="55" t="s">
        <v>43</v>
      </c>
      <c r="G27" s="73" t="s">
        <v>44</v>
      </c>
      <c r="H27" s="79"/>
      <c r="I27" s="75">
        <v>100</v>
      </c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28" spans="1:34" s="34" customFormat="1" ht="33.75" x14ac:dyDescent="0.25">
      <c r="A28" s="62">
        <f t="shared" si="0"/>
        <v>26</v>
      </c>
      <c r="B28" s="35" t="s">
        <v>75</v>
      </c>
      <c r="C28" s="36">
        <v>1</v>
      </c>
      <c r="D28" s="35" t="s">
        <v>36</v>
      </c>
      <c r="E28" s="35" t="s">
        <v>42</v>
      </c>
      <c r="F28" s="55" t="s">
        <v>43</v>
      </c>
      <c r="G28" s="73" t="s">
        <v>44</v>
      </c>
      <c r="H28" s="79"/>
      <c r="I28" s="75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1</v>
      </c>
    </row>
    <row r="29" spans="1:34" s="34" customFormat="1" ht="33.75" x14ac:dyDescent="0.25">
      <c r="A29" s="62">
        <f t="shared" si="0"/>
        <v>27</v>
      </c>
      <c r="B29" s="35" t="s">
        <v>76</v>
      </c>
      <c r="C29" s="36">
        <v>18</v>
      </c>
      <c r="D29" s="35" t="s">
        <v>36</v>
      </c>
      <c r="E29" s="35" t="s">
        <v>42</v>
      </c>
      <c r="F29" s="55" t="s">
        <v>43</v>
      </c>
      <c r="G29" s="73" t="s">
        <v>44</v>
      </c>
      <c r="H29" s="79"/>
      <c r="I29" s="75"/>
      <c r="J29" s="68"/>
      <c r="K29" s="68">
        <v>8</v>
      </c>
      <c r="L29" s="68"/>
      <c r="M29" s="68"/>
      <c r="N29" s="68"/>
      <c r="O29" s="68">
        <v>6</v>
      </c>
      <c r="P29" s="68"/>
      <c r="Q29" s="68"/>
      <c r="R29" s="68">
        <v>4</v>
      </c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30" spans="1:34" s="34" customFormat="1" ht="33.75" x14ac:dyDescent="0.25">
      <c r="A30" s="62">
        <f t="shared" si="0"/>
        <v>28</v>
      </c>
      <c r="B30" s="35" t="s">
        <v>77</v>
      </c>
      <c r="C30" s="36">
        <v>250</v>
      </c>
      <c r="D30" s="35" t="s">
        <v>36</v>
      </c>
      <c r="E30" s="35" t="s">
        <v>42</v>
      </c>
      <c r="F30" s="55" t="s">
        <v>43</v>
      </c>
      <c r="G30" s="73" t="s">
        <v>44</v>
      </c>
      <c r="H30" s="79"/>
      <c r="I30" s="75"/>
      <c r="J30" s="68"/>
      <c r="K30" s="68">
        <v>24</v>
      </c>
      <c r="L30" s="68"/>
      <c r="M30" s="68">
        <v>24</v>
      </c>
      <c r="N30" s="68"/>
      <c r="O30" s="68">
        <v>36</v>
      </c>
      <c r="P30" s="68">
        <v>36</v>
      </c>
      <c r="Q30" s="68"/>
      <c r="R30" s="68">
        <v>36</v>
      </c>
      <c r="S30" s="68">
        <v>36</v>
      </c>
      <c r="T30" s="68">
        <v>36</v>
      </c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22</v>
      </c>
    </row>
    <row r="31" spans="1:34" s="34" customFormat="1" ht="33.75" x14ac:dyDescent="0.25">
      <c r="A31" s="62">
        <f t="shared" si="0"/>
        <v>29</v>
      </c>
      <c r="B31" s="35" t="s">
        <v>78</v>
      </c>
      <c r="C31" s="36">
        <v>4</v>
      </c>
      <c r="D31" s="35" t="s">
        <v>46</v>
      </c>
      <c r="E31" s="35" t="s">
        <v>42</v>
      </c>
      <c r="F31" s="55" t="s">
        <v>43</v>
      </c>
      <c r="G31" s="73" t="s">
        <v>44</v>
      </c>
      <c r="H31" s="79"/>
      <c r="I31" s="75"/>
      <c r="J31" s="68"/>
      <c r="K31" s="68"/>
      <c r="L31" s="68"/>
      <c r="M31" s="68"/>
      <c r="N31" s="68"/>
      <c r="O31" s="68">
        <v>1</v>
      </c>
      <c r="P31" s="68">
        <v>1</v>
      </c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2</v>
      </c>
    </row>
    <row r="32" spans="1:34" s="34" customFormat="1" ht="33.75" x14ac:dyDescent="0.25">
      <c r="A32" s="62">
        <f t="shared" si="0"/>
        <v>30</v>
      </c>
      <c r="B32" s="35" t="s">
        <v>79</v>
      </c>
      <c r="C32" s="36">
        <v>2</v>
      </c>
      <c r="D32" s="35" t="s">
        <v>36</v>
      </c>
      <c r="E32" s="35" t="s">
        <v>42</v>
      </c>
      <c r="F32" s="55" t="s">
        <v>43</v>
      </c>
      <c r="G32" s="73" t="s">
        <v>44</v>
      </c>
      <c r="H32" s="79"/>
      <c r="I32" s="75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2</v>
      </c>
    </row>
    <row r="33" spans="1:34" s="34" customFormat="1" ht="33.75" x14ac:dyDescent="0.25">
      <c r="A33" s="62">
        <f t="shared" si="0"/>
        <v>31</v>
      </c>
      <c r="B33" s="35" t="s">
        <v>80</v>
      </c>
      <c r="C33" s="36">
        <v>4</v>
      </c>
      <c r="D33" s="35" t="s">
        <v>36</v>
      </c>
      <c r="E33" s="35" t="s">
        <v>42</v>
      </c>
      <c r="F33" s="55" t="s">
        <v>43</v>
      </c>
      <c r="G33" s="73" t="s">
        <v>44</v>
      </c>
      <c r="H33" s="79"/>
      <c r="I33" s="75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4</v>
      </c>
    </row>
    <row r="34" spans="1:34" s="34" customFormat="1" ht="33.75" x14ac:dyDescent="0.25">
      <c r="A34" s="62">
        <f t="shared" si="0"/>
        <v>32</v>
      </c>
      <c r="B34" s="35" t="s">
        <v>81</v>
      </c>
      <c r="C34" s="36">
        <v>50</v>
      </c>
      <c r="D34" s="35" t="s">
        <v>36</v>
      </c>
      <c r="E34" s="35" t="s">
        <v>42</v>
      </c>
      <c r="F34" s="55" t="s">
        <v>43</v>
      </c>
      <c r="G34" s="73" t="s">
        <v>47</v>
      </c>
      <c r="H34" s="79"/>
      <c r="I34" s="75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50</v>
      </c>
    </row>
    <row r="35" spans="1:34" s="34" customFormat="1" ht="33.75" x14ac:dyDescent="0.25">
      <c r="A35" s="62">
        <f t="shared" si="0"/>
        <v>33</v>
      </c>
      <c r="B35" s="35" t="s">
        <v>82</v>
      </c>
      <c r="C35" s="36">
        <v>50</v>
      </c>
      <c r="D35" s="35" t="s">
        <v>36</v>
      </c>
      <c r="E35" s="35" t="s">
        <v>42</v>
      </c>
      <c r="F35" s="55" t="s">
        <v>43</v>
      </c>
      <c r="G35" s="73" t="s">
        <v>44</v>
      </c>
      <c r="H35" s="79"/>
      <c r="I35" s="75"/>
      <c r="J35" s="68"/>
      <c r="K35" s="68"/>
      <c r="L35" s="68"/>
      <c r="M35" s="68"/>
      <c r="N35" s="68">
        <v>50</v>
      </c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36" spans="1:34" s="34" customFormat="1" ht="33.75" x14ac:dyDescent="0.25">
      <c r="A36" s="62">
        <f t="shared" si="0"/>
        <v>34</v>
      </c>
      <c r="B36" s="35" t="s">
        <v>83</v>
      </c>
      <c r="C36" s="36">
        <v>50</v>
      </c>
      <c r="D36" s="35" t="s">
        <v>36</v>
      </c>
      <c r="E36" s="35" t="s">
        <v>42</v>
      </c>
      <c r="F36" s="55" t="s">
        <v>43</v>
      </c>
      <c r="G36" s="73" t="s">
        <v>44</v>
      </c>
      <c r="H36" s="79"/>
      <c r="I36" s="75"/>
      <c r="J36" s="68"/>
      <c r="K36" s="68"/>
      <c r="L36" s="68"/>
      <c r="M36" s="68"/>
      <c r="N36" s="68">
        <v>50</v>
      </c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37" spans="1:34" s="34" customFormat="1" ht="33.75" x14ac:dyDescent="0.25">
      <c r="A37" s="62">
        <f>A35+1</f>
        <v>34</v>
      </c>
      <c r="B37" s="35" t="s">
        <v>84</v>
      </c>
      <c r="C37" s="36">
        <v>50</v>
      </c>
      <c r="D37" s="35" t="s">
        <v>36</v>
      </c>
      <c r="E37" s="35" t="s">
        <v>42</v>
      </c>
      <c r="F37" s="55" t="s">
        <v>43</v>
      </c>
      <c r="G37" s="73" t="s">
        <v>44</v>
      </c>
      <c r="H37" s="79"/>
      <c r="I37" s="75"/>
      <c r="J37" s="68"/>
      <c r="K37" s="68"/>
      <c r="L37" s="68"/>
      <c r="M37" s="68"/>
      <c r="N37" s="68">
        <v>50</v>
      </c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38" spans="1:34" s="34" customFormat="1" ht="33.75" x14ac:dyDescent="0.25">
      <c r="A38" s="62">
        <f t="shared" si="0"/>
        <v>35</v>
      </c>
      <c r="B38" s="35" t="s">
        <v>85</v>
      </c>
      <c r="C38" s="36">
        <v>50</v>
      </c>
      <c r="D38" s="35" t="s">
        <v>36</v>
      </c>
      <c r="E38" s="35" t="s">
        <v>42</v>
      </c>
      <c r="F38" s="55" t="s">
        <v>43</v>
      </c>
      <c r="G38" s="73" t="s">
        <v>44</v>
      </c>
      <c r="H38" s="79"/>
      <c r="I38" s="75"/>
      <c r="J38" s="68"/>
      <c r="K38" s="68"/>
      <c r="L38" s="68"/>
      <c r="M38" s="68"/>
      <c r="N38" s="68"/>
      <c r="O38" s="68">
        <v>50</v>
      </c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39" spans="1:34" s="34" customFormat="1" ht="22.5" x14ac:dyDescent="0.25">
      <c r="A39" s="62">
        <v>1</v>
      </c>
      <c r="B39" s="39" t="s">
        <v>86</v>
      </c>
      <c r="C39" s="36">
        <v>1</v>
      </c>
      <c r="D39" s="35" t="s">
        <v>36</v>
      </c>
      <c r="E39" s="40" t="s">
        <v>87</v>
      </c>
      <c r="F39" s="55" t="s">
        <v>43</v>
      </c>
      <c r="G39" s="73" t="s">
        <v>44</v>
      </c>
      <c r="H39" s="79"/>
      <c r="I39" s="75">
        <v>1</v>
      </c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40" spans="1:34" s="34" customFormat="1" ht="22.5" x14ac:dyDescent="0.25">
      <c r="A40" s="61">
        <f>A39+1</f>
        <v>2</v>
      </c>
      <c r="B40" s="39" t="s">
        <v>88</v>
      </c>
      <c r="C40" s="38">
        <v>3</v>
      </c>
      <c r="D40" s="37" t="s">
        <v>89</v>
      </c>
      <c r="E40" s="40" t="s">
        <v>87</v>
      </c>
      <c r="F40" s="55" t="s">
        <v>43</v>
      </c>
      <c r="G40" s="73" t="s">
        <v>44</v>
      </c>
      <c r="H40" s="79"/>
      <c r="I40" s="75"/>
      <c r="J40" s="68"/>
      <c r="K40" s="68">
        <v>3</v>
      </c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41" spans="1:34" s="34" customFormat="1" ht="22.5" x14ac:dyDescent="0.25">
      <c r="A41" s="61">
        <f t="shared" ref="A41:A64" si="1">A40+1</f>
        <v>3</v>
      </c>
      <c r="B41" s="39" t="s">
        <v>90</v>
      </c>
      <c r="C41" s="36">
        <v>5</v>
      </c>
      <c r="D41" s="35" t="s">
        <v>36</v>
      </c>
      <c r="E41" s="40" t="s">
        <v>87</v>
      </c>
      <c r="F41" s="55" t="s">
        <v>43</v>
      </c>
      <c r="G41" s="73" t="s">
        <v>44</v>
      </c>
      <c r="H41" s="79"/>
      <c r="I41" s="76">
        <v>5</v>
      </c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42" spans="1:34" s="34" customFormat="1" ht="22.5" x14ac:dyDescent="0.25">
      <c r="A42" s="61">
        <f t="shared" si="1"/>
        <v>4</v>
      </c>
      <c r="B42" s="39" t="s">
        <v>91</v>
      </c>
      <c r="C42" s="36">
        <v>10</v>
      </c>
      <c r="D42" s="35" t="s">
        <v>36</v>
      </c>
      <c r="E42" s="40" t="s">
        <v>87</v>
      </c>
      <c r="F42" s="55" t="s">
        <v>43</v>
      </c>
      <c r="G42" s="73" t="s">
        <v>44</v>
      </c>
      <c r="H42" s="79"/>
      <c r="I42" s="76">
        <v>10</v>
      </c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43" spans="1:34" s="34" customFormat="1" ht="22.5" x14ac:dyDescent="0.25">
      <c r="A43" s="61">
        <f t="shared" si="1"/>
        <v>5</v>
      </c>
      <c r="B43" s="39" t="s">
        <v>92</v>
      </c>
      <c r="C43" s="38">
        <v>50</v>
      </c>
      <c r="D43" s="37" t="s">
        <v>36</v>
      </c>
      <c r="E43" s="40" t="s">
        <v>87</v>
      </c>
      <c r="F43" s="55" t="s">
        <v>43</v>
      </c>
      <c r="G43" s="73" t="s">
        <v>44</v>
      </c>
      <c r="H43" s="79"/>
      <c r="I43" s="76">
        <v>50</v>
      </c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44" spans="1:34" s="34" customFormat="1" ht="22.5" x14ac:dyDescent="0.25">
      <c r="A44" s="61">
        <f t="shared" si="1"/>
        <v>6</v>
      </c>
      <c r="B44" s="39" t="s">
        <v>93</v>
      </c>
      <c r="C44" s="38">
        <v>5</v>
      </c>
      <c r="D44" s="37" t="s">
        <v>36</v>
      </c>
      <c r="E44" s="40" t="s">
        <v>87</v>
      </c>
      <c r="F44" s="55" t="s">
        <v>43</v>
      </c>
      <c r="G44" s="73" t="s">
        <v>44</v>
      </c>
      <c r="H44" s="79"/>
      <c r="I44" s="76">
        <v>5</v>
      </c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45" spans="1:34" s="34" customFormat="1" ht="22.5" x14ac:dyDescent="0.25">
      <c r="A45" s="61">
        <f t="shared" si="1"/>
        <v>7</v>
      </c>
      <c r="B45" s="39" t="s">
        <v>94</v>
      </c>
      <c r="C45" s="38">
        <v>3</v>
      </c>
      <c r="D45" s="37" t="s">
        <v>36</v>
      </c>
      <c r="E45" s="40" t="s">
        <v>87</v>
      </c>
      <c r="F45" s="55" t="s">
        <v>43</v>
      </c>
      <c r="G45" s="73" t="s">
        <v>44</v>
      </c>
      <c r="H45" s="79"/>
      <c r="I45" s="76">
        <v>3</v>
      </c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46" spans="1:34" s="34" customFormat="1" ht="22.5" x14ac:dyDescent="0.25">
      <c r="A46" s="61">
        <f t="shared" si="1"/>
        <v>8</v>
      </c>
      <c r="B46" s="41" t="s">
        <v>95</v>
      </c>
      <c r="C46" s="38">
        <v>5</v>
      </c>
      <c r="D46" s="37" t="s">
        <v>36</v>
      </c>
      <c r="E46" s="40" t="s">
        <v>87</v>
      </c>
      <c r="F46" s="55" t="s">
        <v>43</v>
      </c>
      <c r="G46" s="73" t="s">
        <v>44</v>
      </c>
      <c r="H46" s="79"/>
      <c r="I46" s="76">
        <v>5</v>
      </c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47" spans="1:34" s="34" customFormat="1" ht="22.5" x14ac:dyDescent="0.25">
      <c r="A47" s="61">
        <f t="shared" si="1"/>
        <v>9</v>
      </c>
      <c r="B47" s="39" t="s">
        <v>96</v>
      </c>
      <c r="C47" s="36">
        <v>20</v>
      </c>
      <c r="D47" s="35" t="s">
        <v>36</v>
      </c>
      <c r="E47" s="40" t="s">
        <v>87</v>
      </c>
      <c r="F47" s="55" t="s">
        <v>43</v>
      </c>
      <c r="G47" s="73" t="s">
        <v>44</v>
      </c>
      <c r="H47" s="79"/>
      <c r="I47" s="76">
        <v>20</v>
      </c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48" spans="1:34" s="34" customFormat="1" ht="22.5" x14ac:dyDescent="0.25">
      <c r="A48" s="61">
        <f t="shared" si="1"/>
        <v>10</v>
      </c>
      <c r="B48" s="39" t="s">
        <v>97</v>
      </c>
      <c r="C48" s="36">
        <v>1</v>
      </c>
      <c r="D48" s="35" t="s">
        <v>36</v>
      </c>
      <c r="E48" s="40" t="s">
        <v>87</v>
      </c>
      <c r="F48" s="55" t="s">
        <v>43</v>
      </c>
      <c r="G48" s="73" t="s">
        <v>44</v>
      </c>
      <c r="H48" s="79"/>
      <c r="I48" s="76">
        <v>1</v>
      </c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49" spans="1:34" s="34" customFormat="1" ht="22.5" x14ac:dyDescent="0.25">
      <c r="A49" s="61">
        <f t="shared" si="1"/>
        <v>11</v>
      </c>
      <c r="B49" s="39" t="s">
        <v>98</v>
      </c>
      <c r="C49" s="36">
        <v>1</v>
      </c>
      <c r="D49" s="35" t="s">
        <v>36</v>
      </c>
      <c r="E49" s="40" t="s">
        <v>87</v>
      </c>
      <c r="F49" s="55" t="s">
        <v>43</v>
      </c>
      <c r="G49" s="73" t="s">
        <v>44</v>
      </c>
      <c r="H49" s="79"/>
      <c r="I49" s="76">
        <v>1</v>
      </c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50" spans="1:34" s="34" customFormat="1" ht="22.5" x14ac:dyDescent="0.25">
      <c r="A50" s="61">
        <f t="shared" si="1"/>
        <v>12</v>
      </c>
      <c r="B50" s="39" t="s">
        <v>99</v>
      </c>
      <c r="C50" s="38">
        <v>8</v>
      </c>
      <c r="D50" s="37" t="s">
        <v>100</v>
      </c>
      <c r="E50" s="40" t="s">
        <v>87</v>
      </c>
      <c r="F50" s="55" t="s">
        <v>43</v>
      </c>
      <c r="G50" s="73" t="s">
        <v>44</v>
      </c>
      <c r="H50" s="79"/>
      <c r="I50" s="76">
        <v>8</v>
      </c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51" spans="1:34" s="34" customFormat="1" ht="22.5" x14ac:dyDescent="0.25">
      <c r="A51" s="61">
        <f t="shared" si="1"/>
        <v>13</v>
      </c>
      <c r="B51" s="39" t="s">
        <v>101</v>
      </c>
      <c r="C51" s="38">
        <v>10</v>
      </c>
      <c r="D51" s="37" t="s">
        <v>36</v>
      </c>
      <c r="E51" s="40" t="s">
        <v>87</v>
      </c>
      <c r="F51" s="55" t="s">
        <v>43</v>
      </c>
      <c r="G51" s="73" t="s">
        <v>44</v>
      </c>
      <c r="H51" s="79"/>
      <c r="I51" s="76">
        <v>10</v>
      </c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52" spans="1:34" s="34" customFormat="1" ht="22.5" x14ac:dyDescent="0.25">
      <c r="A52" s="61">
        <f t="shared" si="1"/>
        <v>14</v>
      </c>
      <c r="B52" s="39" t="s">
        <v>102</v>
      </c>
      <c r="C52" s="38">
        <v>10</v>
      </c>
      <c r="D52" s="37" t="s">
        <v>36</v>
      </c>
      <c r="E52" s="40" t="s">
        <v>87</v>
      </c>
      <c r="F52" s="55" t="s">
        <v>43</v>
      </c>
      <c r="G52" s="73" t="s">
        <v>44</v>
      </c>
      <c r="H52" s="79"/>
      <c r="I52" s="76">
        <v>10</v>
      </c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53" spans="1:34" s="34" customFormat="1" ht="22.5" x14ac:dyDescent="0.25">
      <c r="A53" s="61">
        <f t="shared" si="1"/>
        <v>15</v>
      </c>
      <c r="B53" s="39" t="s">
        <v>103</v>
      </c>
      <c r="C53" s="38">
        <v>5</v>
      </c>
      <c r="D53" s="37" t="s">
        <v>36</v>
      </c>
      <c r="E53" s="40" t="s">
        <v>87</v>
      </c>
      <c r="F53" s="55" t="s">
        <v>43</v>
      </c>
      <c r="G53" s="73" t="s">
        <v>44</v>
      </c>
      <c r="H53" s="79"/>
      <c r="I53" s="76">
        <v>5</v>
      </c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54" spans="1:34" s="34" customFormat="1" ht="22.5" x14ac:dyDescent="0.25">
      <c r="A54" s="61">
        <f t="shared" si="1"/>
        <v>16</v>
      </c>
      <c r="B54" s="39" t="s">
        <v>104</v>
      </c>
      <c r="C54" s="38">
        <v>4</v>
      </c>
      <c r="D54" s="37" t="s">
        <v>36</v>
      </c>
      <c r="E54" s="40" t="s">
        <v>87</v>
      </c>
      <c r="F54" s="55" t="s">
        <v>43</v>
      </c>
      <c r="G54" s="73" t="s">
        <v>44</v>
      </c>
      <c r="H54" s="79"/>
      <c r="I54" s="76">
        <v>4</v>
      </c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55" spans="1:34" s="34" customFormat="1" ht="22.5" x14ac:dyDescent="0.25">
      <c r="A55" s="61">
        <f t="shared" si="1"/>
        <v>17</v>
      </c>
      <c r="B55" s="39" t="s">
        <v>105</v>
      </c>
      <c r="C55" s="38">
        <v>4</v>
      </c>
      <c r="D55" s="37" t="s">
        <v>36</v>
      </c>
      <c r="E55" s="40" t="s">
        <v>87</v>
      </c>
      <c r="F55" s="55" t="s">
        <v>43</v>
      </c>
      <c r="G55" s="73" t="s">
        <v>44</v>
      </c>
      <c r="H55" s="79"/>
      <c r="I55" s="76">
        <v>4</v>
      </c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56" spans="1:34" s="34" customFormat="1" ht="22.5" x14ac:dyDescent="0.25">
      <c r="A56" s="61">
        <f t="shared" si="1"/>
        <v>18</v>
      </c>
      <c r="B56" s="39" t="s">
        <v>106</v>
      </c>
      <c r="C56" s="36">
        <v>15</v>
      </c>
      <c r="D56" s="35" t="s">
        <v>36</v>
      </c>
      <c r="E56" s="40" t="s">
        <v>87</v>
      </c>
      <c r="F56" s="55" t="s">
        <v>43</v>
      </c>
      <c r="G56" s="73" t="s">
        <v>44</v>
      </c>
      <c r="H56" s="79"/>
      <c r="I56" s="76">
        <v>15</v>
      </c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57" spans="1:34" s="34" customFormat="1" ht="22.5" x14ac:dyDescent="0.25">
      <c r="A57" s="61">
        <f t="shared" si="1"/>
        <v>19</v>
      </c>
      <c r="B57" s="39" t="s">
        <v>107</v>
      </c>
      <c r="C57" s="38">
        <v>1</v>
      </c>
      <c r="D57" s="37" t="s">
        <v>36</v>
      </c>
      <c r="E57" s="40" t="s">
        <v>87</v>
      </c>
      <c r="F57" s="55" t="s">
        <v>43</v>
      </c>
      <c r="G57" s="73" t="s">
        <v>44</v>
      </c>
      <c r="H57" s="79"/>
      <c r="I57" s="76">
        <v>1</v>
      </c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58" spans="1:34" s="34" customFormat="1" ht="22.5" x14ac:dyDescent="0.25">
      <c r="A58" s="61">
        <f t="shared" si="1"/>
        <v>20</v>
      </c>
      <c r="B58" s="39" t="s">
        <v>108</v>
      </c>
      <c r="C58" s="38">
        <v>1</v>
      </c>
      <c r="D58" s="37" t="s">
        <v>36</v>
      </c>
      <c r="E58" s="40" t="s">
        <v>87</v>
      </c>
      <c r="F58" s="55" t="s">
        <v>43</v>
      </c>
      <c r="G58" s="73" t="s">
        <v>44</v>
      </c>
      <c r="H58" s="79"/>
      <c r="I58" s="76">
        <v>1</v>
      </c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59" spans="1:34" s="34" customFormat="1" ht="22.5" x14ac:dyDescent="0.25">
      <c r="A59" s="61">
        <f t="shared" si="1"/>
        <v>21</v>
      </c>
      <c r="B59" s="39" t="s">
        <v>109</v>
      </c>
      <c r="C59" s="38">
        <v>1</v>
      </c>
      <c r="D59" s="37" t="s">
        <v>36</v>
      </c>
      <c r="E59" s="40" t="s">
        <v>87</v>
      </c>
      <c r="F59" s="55" t="s">
        <v>43</v>
      </c>
      <c r="G59" s="73" t="s">
        <v>44</v>
      </c>
      <c r="H59" s="79"/>
      <c r="I59" s="76">
        <v>1</v>
      </c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60" spans="1:34" s="34" customFormat="1" ht="22.5" x14ac:dyDescent="0.25">
      <c r="A60" s="61">
        <f t="shared" si="1"/>
        <v>22</v>
      </c>
      <c r="B60" s="39" t="s">
        <v>110</v>
      </c>
      <c r="C60" s="38">
        <v>3</v>
      </c>
      <c r="D60" s="37" t="s">
        <v>36</v>
      </c>
      <c r="E60" s="40" t="s">
        <v>87</v>
      </c>
      <c r="F60" s="55" t="s">
        <v>43</v>
      </c>
      <c r="G60" s="73" t="s">
        <v>44</v>
      </c>
      <c r="H60" s="79"/>
      <c r="I60" s="76">
        <v>3</v>
      </c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61" spans="1:34" s="34" customFormat="1" ht="22.5" x14ac:dyDescent="0.25">
      <c r="A61" s="61">
        <f t="shared" si="1"/>
        <v>23</v>
      </c>
      <c r="B61" s="39" t="s">
        <v>111</v>
      </c>
      <c r="C61" s="38">
        <v>3</v>
      </c>
      <c r="D61" s="37" t="s">
        <v>36</v>
      </c>
      <c r="E61" s="40" t="s">
        <v>87</v>
      </c>
      <c r="F61" s="55" t="s">
        <v>43</v>
      </c>
      <c r="G61" s="73" t="s">
        <v>44</v>
      </c>
      <c r="H61" s="79"/>
      <c r="I61" s="76">
        <v>3</v>
      </c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62" spans="1:34" s="34" customFormat="1" ht="22.5" x14ac:dyDescent="0.25">
      <c r="A62" s="61">
        <f t="shared" si="1"/>
        <v>24</v>
      </c>
      <c r="B62" s="39" t="s">
        <v>112</v>
      </c>
      <c r="C62" s="38">
        <v>3</v>
      </c>
      <c r="D62" s="37" t="s">
        <v>100</v>
      </c>
      <c r="E62" s="40" t="s">
        <v>87</v>
      </c>
      <c r="F62" s="55" t="s">
        <v>43</v>
      </c>
      <c r="G62" s="73" t="s">
        <v>44</v>
      </c>
      <c r="H62" s="79"/>
      <c r="I62" s="76">
        <v>3</v>
      </c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63" spans="1:34" s="34" customFormat="1" ht="22.5" x14ac:dyDescent="0.25">
      <c r="A63" s="61">
        <f t="shared" si="1"/>
        <v>25</v>
      </c>
      <c r="B63" s="39" t="s">
        <v>113</v>
      </c>
      <c r="C63" s="38">
        <v>2</v>
      </c>
      <c r="D63" s="37" t="s">
        <v>100</v>
      </c>
      <c r="E63" s="40" t="s">
        <v>87</v>
      </c>
      <c r="F63" s="55" t="s">
        <v>43</v>
      </c>
      <c r="G63" s="73" t="s">
        <v>44</v>
      </c>
      <c r="H63" s="79"/>
      <c r="I63" s="76">
        <v>2</v>
      </c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64" spans="1:34" s="34" customFormat="1" ht="22.5" x14ac:dyDescent="0.25">
      <c r="A64" s="61">
        <f t="shared" si="1"/>
        <v>26</v>
      </c>
      <c r="B64" s="39" t="s">
        <v>114</v>
      </c>
      <c r="C64" s="38">
        <v>1</v>
      </c>
      <c r="D64" s="37" t="s">
        <v>100</v>
      </c>
      <c r="E64" s="40" t="s">
        <v>87</v>
      </c>
      <c r="F64" s="55" t="s">
        <v>43</v>
      </c>
      <c r="G64" s="73" t="s">
        <v>44</v>
      </c>
      <c r="H64" s="79"/>
      <c r="I64" s="76">
        <v>1</v>
      </c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65" spans="1:34" s="34" customFormat="1" ht="22.5" x14ac:dyDescent="0.25">
      <c r="A65" s="61">
        <v>1</v>
      </c>
      <c r="B65" s="37" t="s">
        <v>115</v>
      </c>
      <c r="C65" s="38">
        <v>4</v>
      </c>
      <c r="D65" s="37" t="s">
        <v>36</v>
      </c>
      <c r="E65" s="35" t="s">
        <v>116</v>
      </c>
      <c r="F65" s="55" t="s">
        <v>43</v>
      </c>
      <c r="G65" s="73" t="s">
        <v>44</v>
      </c>
      <c r="H65" s="79"/>
      <c r="I65" s="75"/>
      <c r="J65" s="68">
        <v>4</v>
      </c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66" spans="1:34" s="34" customFormat="1" ht="22.5" x14ac:dyDescent="0.25">
      <c r="A66" s="61">
        <f t="shared" ref="A66:A83" si="2">A65+1</f>
        <v>2</v>
      </c>
      <c r="B66" s="35" t="s">
        <v>117</v>
      </c>
      <c r="C66" s="36">
        <v>1</v>
      </c>
      <c r="D66" s="35" t="s">
        <v>36</v>
      </c>
      <c r="E66" s="35" t="s">
        <v>116</v>
      </c>
      <c r="F66" s="55" t="s">
        <v>43</v>
      </c>
      <c r="G66" s="73" t="s">
        <v>44</v>
      </c>
      <c r="H66" s="79"/>
      <c r="I66" s="75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1</v>
      </c>
    </row>
    <row r="67" spans="1:34" s="34" customFormat="1" ht="22.5" x14ac:dyDescent="0.25">
      <c r="A67" s="61">
        <f t="shared" si="2"/>
        <v>3</v>
      </c>
      <c r="B67" s="35" t="s">
        <v>118</v>
      </c>
      <c r="C67" s="36">
        <v>8</v>
      </c>
      <c r="D67" s="35" t="s">
        <v>119</v>
      </c>
      <c r="E67" s="35" t="s">
        <v>116</v>
      </c>
      <c r="F67" s="55" t="s">
        <v>43</v>
      </c>
      <c r="G67" s="73" t="s">
        <v>44</v>
      </c>
      <c r="H67" s="79"/>
      <c r="I67" s="75"/>
      <c r="J67" s="68"/>
      <c r="K67" s="68">
        <v>2</v>
      </c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6</v>
      </c>
    </row>
    <row r="68" spans="1:34" s="34" customFormat="1" ht="47.25" customHeight="1" x14ac:dyDescent="0.25">
      <c r="A68" s="61">
        <f t="shared" si="2"/>
        <v>4</v>
      </c>
      <c r="B68" s="35" t="s">
        <v>120</v>
      </c>
      <c r="C68" s="36">
        <v>175</v>
      </c>
      <c r="D68" s="35" t="s">
        <v>121</v>
      </c>
      <c r="E68" s="37" t="s">
        <v>116</v>
      </c>
      <c r="F68" s="55" t="s">
        <v>43</v>
      </c>
      <c r="G68" s="73" t="s">
        <v>44</v>
      </c>
      <c r="H68" s="79"/>
      <c r="I68" s="75"/>
      <c r="J68" s="68"/>
      <c r="K68" s="68">
        <v>25</v>
      </c>
      <c r="L68" s="68"/>
      <c r="M68" s="68">
        <v>25</v>
      </c>
      <c r="N68" s="68"/>
      <c r="O68" s="68">
        <v>35</v>
      </c>
      <c r="P68" s="68">
        <v>35</v>
      </c>
      <c r="Q68" s="68"/>
      <c r="R68" s="68">
        <v>30</v>
      </c>
      <c r="S68" s="68">
        <v>20</v>
      </c>
      <c r="T68" s="68">
        <v>5</v>
      </c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69" spans="1:34" s="34" customFormat="1" ht="22.5" x14ac:dyDescent="0.25">
      <c r="A69" s="61">
        <f t="shared" si="2"/>
        <v>5</v>
      </c>
      <c r="B69" s="35" t="s">
        <v>122</v>
      </c>
      <c r="C69" s="36">
        <v>10</v>
      </c>
      <c r="D69" s="35" t="s">
        <v>121</v>
      </c>
      <c r="E69" s="35" t="s">
        <v>116</v>
      </c>
      <c r="F69" s="55" t="s">
        <v>43</v>
      </c>
      <c r="G69" s="73" t="s">
        <v>44</v>
      </c>
      <c r="H69" s="79"/>
      <c r="I69" s="75"/>
      <c r="J69" s="68"/>
      <c r="K69" s="68"/>
      <c r="L69" s="68">
        <v>2</v>
      </c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8</v>
      </c>
    </row>
    <row r="70" spans="1:34" s="34" customFormat="1" ht="22.5" x14ac:dyDescent="0.25">
      <c r="A70" s="61">
        <f t="shared" si="2"/>
        <v>6</v>
      </c>
      <c r="B70" s="35" t="s">
        <v>123</v>
      </c>
      <c r="C70" s="36">
        <v>2</v>
      </c>
      <c r="D70" s="35" t="s">
        <v>121</v>
      </c>
      <c r="E70" s="35" t="s">
        <v>116</v>
      </c>
      <c r="F70" s="55" t="s">
        <v>43</v>
      </c>
      <c r="G70" s="73" t="s">
        <v>44</v>
      </c>
      <c r="H70" s="79"/>
      <c r="I70" s="75">
        <v>2</v>
      </c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71" spans="1:34" s="34" customFormat="1" ht="22.5" x14ac:dyDescent="0.25">
      <c r="A71" s="61">
        <f t="shared" si="2"/>
        <v>7</v>
      </c>
      <c r="B71" s="35" t="s">
        <v>124</v>
      </c>
      <c r="C71" s="36">
        <v>50</v>
      </c>
      <c r="D71" s="35" t="s">
        <v>36</v>
      </c>
      <c r="E71" s="35" t="s">
        <v>116</v>
      </c>
      <c r="F71" s="55" t="s">
        <v>43</v>
      </c>
      <c r="G71" s="73" t="s">
        <v>44</v>
      </c>
      <c r="H71" s="79"/>
      <c r="I71" s="75"/>
      <c r="J71" s="68"/>
      <c r="K71" s="68"/>
      <c r="L71" s="68">
        <v>25</v>
      </c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25</v>
      </c>
    </row>
    <row r="72" spans="1:34" s="34" customFormat="1" ht="22.5" x14ac:dyDescent="0.25">
      <c r="A72" s="61">
        <f t="shared" si="2"/>
        <v>8</v>
      </c>
      <c r="B72" s="37" t="s">
        <v>125</v>
      </c>
      <c r="C72" s="36">
        <v>1</v>
      </c>
      <c r="D72" s="35" t="s">
        <v>36</v>
      </c>
      <c r="E72" s="35" t="s">
        <v>116</v>
      </c>
      <c r="F72" s="55" t="s">
        <v>43</v>
      </c>
      <c r="G72" s="73" t="s">
        <v>44</v>
      </c>
      <c r="H72" s="79"/>
      <c r="I72" s="75"/>
      <c r="J72" s="68">
        <v>1</v>
      </c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73" spans="1:34" s="34" customFormat="1" ht="22.5" x14ac:dyDescent="0.25">
      <c r="A73" s="61">
        <f t="shared" si="2"/>
        <v>9</v>
      </c>
      <c r="B73" s="37" t="s">
        <v>126</v>
      </c>
      <c r="C73" s="36">
        <v>60</v>
      </c>
      <c r="D73" s="35" t="s">
        <v>36</v>
      </c>
      <c r="E73" s="35" t="s">
        <v>116</v>
      </c>
      <c r="F73" s="55" t="s">
        <v>43</v>
      </c>
      <c r="G73" s="73" t="s">
        <v>44</v>
      </c>
      <c r="H73" s="79"/>
      <c r="I73" s="75"/>
      <c r="J73" s="68"/>
      <c r="K73" s="68">
        <v>4</v>
      </c>
      <c r="L73" s="68"/>
      <c r="M73" s="68">
        <v>6</v>
      </c>
      <c r="N73" s="68">
        <v>10</v>
      </c>
      <c r="O73" s="68"/>
      <c r="P73" s="68">
        <v>6</v>
      </c>
      <c r="Q73" s="68"/>
      <c r="R73" s="68">
        <v>10</v>
      </c>
      <c r="S73" s="68">
        <v>10</v>
      </c>
      <c r="T73" s="68">
        <v>10</v>
      </c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4</v>
      </c>
    </row>
    <row r="74" spans="1:34" s="34" customFormat="1" ht="22.5" x14ac:dyDescent="0.25">
      <c r="A74" s="61">
        <f t="shared" si="2"/>
        <v>10</v>
      </c>
      <c r="B74" s="35" t="s">
        <v>30</v>
      </c>
      <c r="C74" s="36">
        <v>30</v>
      </c>
      <c r="D74" s="35" t="s">
        <v>36</v>
      </c>
      <c r="E74" s="35" t="s">
        <v>116</v>
      </c>
      <c r="F74" s="55" t="s">
        <v>43</v>
      </c>
      <c r="G74" s="73" t="s">
        <v>44</v>
      </c>
      <c r="H74" s="79"/>
      <c r="I74" s="75"/>
      <c r="J74" s="68"/>
      <c r="K74" s="68"/>
      <c r="L74" s="68">
        <v>30</v>
      </c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75" spans="1:34" s="34" customFormat="1" ht="36" customHeight="1" x14ac:dyDescent="0.25">
      <c r="A75" s="61">
        <f t="shared" si="2"/>
        <v>11</v>
      </c>
      <c r="B75" s="35" t="s">
        <v>127</v>
      </c>
      <c r="C75" s="36">
        <v>150</v>
      </c>
      <c r="D75" s="35" t="s">
        <v>121</v>
      </c>
      <c r="E75" s="35" t="s">
        <v>116</v>
      </c>
      <c r="F75" s="55" t="s">
        <v>43</v>
      </c>
      <c r="G75" s="73" t="s">
        <v>44</v>
      </c>
      <c r="H75" s="79"/>
      <c r="I75" s="75"/>
      <c r="J75" s="68"/>
      <c r="K75" s="68"/>
      <c r="L75" s="68">
        <v>40</v>
      </c>
      <c r="M75" s="68">
        <v>15</v>
      </c>
      <c r="N75" s="68"/>
      <c r="O75" s="68">
        <v>20</v>
      </c>
      <c r="P75" s="68"/>
      <c r="Q75" s="68"/>
      <c r="R75" s="68">
        <v>20</v>
      </c>
      <c r="S75" s="68">
        <v>20</v>
      </c>
      <c r="T75" s="68">
        <v>20</v>
      </c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15</v>
      </c>
    </row>
    <row r="76" spans="1:34" s="34" customFormat="1" ht="22.5" x14ac:dyDescent="0.25">
      <c r="A76" s="61">
        <f t="shared" si="2"/>
        <v>12</v>
      </c>
      <c r="B76" s="35" t="s">
        <v>128</v>
      </c>
      <c r="C76" s="36">
        <v>14</v>
      </c>
      <c r="D76" s="35" t="s">
        <v>36</v>
      </c>
      <c r="E76" s="35" t="s">
        <v>116</v>
      </c>
      <c r="F76" s="55" t="s">
        <v>43</v>
      </c>
      <c r="G76" s="73" t="s">
        <v>44</v>
      </c>
      <c r="H76" s="79"/>
      <c r="I76" s="75"/>
      <c r="J76" s="68">
        <v>7</v>
      </c>
      <c r="K76" s="68"/>
      <c r="L76" s="68"/>
      <c r="M76" s="68"/>
      <c r="N76" s="68"/>
      <c r="O76" s="68"/>
      <c r="P76" s="68"/>
      <c r="Q76" s="68"/>
      <c r="R76" s="68">
        <v>4</v>
      </c>
      <c r="S76" s="68">
        <v>2</v>
      </c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1</v>
      </c>
    </row>
    <row r="77" spans="1:34" s="34" customFormat="1" ht="22.5" x14ac:dyDescent="0.25">
      <c r="A77" s="61">
        <f t="shared" si="2"/>
        <v>13</v>
      </c>
      <c r="B77" s="35" t="s">
        <v>129</v>
      </c>
      <c r="C77" s="36">
        <v>7</v>
      </c>
      <c r="D77" s="35" t="s">
        <v>29</v>
      </c>
      <c r="E77" s="35" t="s">
        <v>116</v>
      </c>
      <c r="F77" s="55" t="s">
        <v>43</v>
      </c>
      <c r="G77" s="73" t="s">
        <v>44</v>
      </c>
      <c r="H77" s="79"/>
      <c r="I77" s="75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7</v>
      </c>
    </row>
    <row r="78" spans="1:34" s="34" customFormat="1" ht="22.5" x14ac:dyDescent="0.25">
      <c r="A78" s="61">
        <f t="shared" si="2"/>
        <v>14</v>
      </c>
      <c r="B78" s="35" t="s">
        <v>130</v>
      </c>
      <c r="C78" s="36">
        <v>30</v>
      </c>
      <c r="D78" s="35" t="s">
        <v>36</v>
      </c>
      <c r="E78" s="35" t="s">
        <v>116</v>
      </c>
      <c r="F78" s="55" t="s">
        <v>43</v>
      </c>
      <c r="G78" s="73" t="s">
        <v>44</v>
      </c>
      <c r="H78" s="79"/>
      <c r="I78" s="75"/>
      <c r="J78" s="68">
        <v>15</v>
      </c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15</v>
      </c>
    </row>
    <row r="79" spans="1:34" s="34" customFormat="1" ht="22.5" x14ac:dyDescent="0.25">
      <c r="A79" s="61">
        <f t="shared" si="2"/>
        <v>15</v>
      </c>
      <c r="B79" s="35" t="s">
        <v>131</v>
      </c>
      <c r="C79" s="36">
        <v>15</v>
      </c>
      <c r="D79" s="35" t="s">
        <v>36</v>
      </c>
      <c r="E79" s="35" t="s">
        <v>116</v>
      </c>
      <c r="F79" s="55" t="s">
        <v>43</v>
      </c>
      <c r="G79" s="73" t="s">
        <v>44</v>
      </c>
      <c r="H79" s="79"/>
      <c r="I79" s="75"/>
      <c r="J79" s="68">
        <v>15</v>
      </c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80" spans="1:34" s="34" customFormat="1" ht="22.5" x14ac:dyDescent="0.25">
      <c r="A80" s="61">
        <f t="shared" si="2"/>
        <v>16</v>
      </c>
      <c r="B80" s="35" t="s">
        <v>132</v>
      </c>
      <c r="C80" s="36">
        <v>25</v>
      </c>
      <c r="D80" s="35" t="s">
        <v>36</v>
      </c>
      <c r="E80" s="35" t="s">
        <v>116</v>
      </c>
      <c r="F80" s="55" t="s">
        <v>43</v>
      </c>
      <c r="G80" s="73" t="s">
        <v>44</v>
      </c>
      <c r="H80" s="79"/>
      <c r="I80" s="75"/>
      <c r="J80" s="68"/>
      <c r="K80" s="68"/>
      <c r="L80" s="68">
        <v>25</v>
      </c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81" spans="1:34" s="34" customFormat="1" ht="22.5" x14ac:dyDescent="0.25">
      <c r="A81" s="61">
        <f t="shared" si="2"/>
        <v>17</v>
      </c>
      <c r="B81" s="35" t="s">
        <v>133</v>
      </c>
      <c r="C81" s="36">
        <v>7</v>
      </c>
      <c r="D81" s="35" t="s">
        <v>36</v>
      </c>
      <c r="E81" s="35" t="s">
        <v>116</v>
      </c>
      <c r="F81" s="55" t="s">
        <v>43</v>
      </c>
      <c r="G81" s="73" t="s">
        <v>44</v>
      </c>
      <c r="H81" s="79"/>
      <c r="I81" s="75">
        <v>7</v>
      </c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82" spans="1:34" s="34" customFormat="1" ht="22.5" x14ac:dyDescent="0.25">
      <c r="A82" s="61">
        <f t="shared" si="2"/>
        <v>18</v>
      </c>
      <c r="B82" s="35" t="s">
        <v>134</v>
      </c>
      <c r="C82" s="36">
        <v>1</v>
      </c>
      <c r="D82" s="35" t="s">
        <v>36</v>
      </c>
      <c r="E82" s="35" t="s">
        <v>116</v>
      </c>
      <c r="F82" s="55" t="s">
        <v>43</v>
      </c>
      <c r="G82" s="73" t="s">
        <v>44</v>
      </c>
      <c r="H82" s="79"/>
      <c r="I82" s="75">
        <v>1</v>
      </c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83" spans="1:34" s="34" customFormat="1" ht="33.75" x14ac:dyDescent="0.25">
      <c r="A83" s="61">
        <f t="shared" si="2"/>
        <v>19</v>
      </c>
      <c r="B83" s="35" t="s">
        <v>135</v>
      </c>
      <c r="C83" s="36">
        <v>3</v>
      </c>
      <c r="D83" s="35" t="s">
        <v>36</v>
      </c>
      <c r="E83" s="35" t="s">
        <v>116</v>
      </c>
      <c r="F83" s="55" t="s">
        <v>43</v>
      </c>
      <c r="G83" s="73" t="s">
        <v>44</v>
      </c>
      <c r="H83" s="79"/>
      <c r="I83" s="75">
        <v>3</v>
      </c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84" spans="1:34" s="34" customFormat="1" ht="33.75" customHeight="1" x14ac:dyDescent="0.25">
      <c r="A84" s="62">
        <f>1</f>
        <v>1</v>
      </c>
      <c r="B84" s="35" t="s">
        <v>136</v>
      </c>
      <c r="C84" s="36">
        <v>6</v>
      </c>
      <c r="D84" s="35" t="s">
        <v>36</v>
      </c>
      <c r="E84" s="35" t="s">
        <v>137</v>
      </c>
      <c r="F84" s="57" t="s">
        <v>138</v>
      </c>
      <c r="G84" s="73" t="s">
        <v>44</v>
      </c>
      <c r="H84" s="80" t="s">
        <v>139</v>
      </c>
      <c r="I84" s="76">
        <v>6</v>
      </c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85" spans="1:34" s="34" customFormat="1" ht="22.5" customHeight="1" x14ac:dyDescent="0.25">
      <c r="A85" s="62">
        <f t="shared" ref="A85:A92" si="3">A84+1</f>
        <v>2</v>
      </c>
      <c r="B85" s="35" t="s">
        <v>140</v>
      </c>
      <c r="C85" s="36">
        <v>1</v>
      </c>
      <c r="D85" s="35" t="s">
        <v>141</v>
      </c>
      <c r="E85" s="35" t="s">
        <v>137</v>
      </c>
      <c r="F85" s="57" t="s">
        <v>138</v>
      </c>
      <c r="G85" s="73" t="s">
        <v>47</v>
      </c>
      <c r="H85" s="80" t="s">
        <v>139</v>
      </c>
      <c r="I85" s="76">
        <v>1</v>
      </c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86" spans="1:34" s="34" customFormat="1" ht="22.5" x14ac:dyDescent="0.25">
      <c r="A86" s="62">
        <f t="shared" si="3"/>
        <v>3</v>
      </c>
      <c r="B86" s="35" t="s">
        <v>142</v>
      </c>
      <c r="C86" s="36">
        <v>3</v>
      </c>
      <c r="D86" s="35" t="s">
        <v>36</v>
      </c>
      <c r="E86" s="35" t="s">
        <v>137</v>
      </c>
      <c r="F86" s="57" t="s">
        <v>138</v>
      </c>
      <c r="G86" s="73" t="s">
        <v>44</v>
      </c>
      <c r="H86" s="80" t="s">
        <v>143</v>
      </c>
      <c r="I86" s="76">
        <v>3</v>
      </c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87" spans="1:34" s="34" customFormat="1" ht="22.5" x14ac:dyDescent="0.25">
      <c r="A87" s="62">
        <f t="shared" si="3"/>
        <v>4</v>
      </c>
      <c r="B87" s="37" t="s">
        <v>144</v>
      </c>
      <c r="C87" s="38">
        <v>3</v>
      </c>
      <c r="D87" s="35" t="s">
        <v>36</v>
      </c>
      <c r="E87" s="35" t="s">
        <v>137</v>
      </c>
      <c r="F87" s="57" t="s">
        <v>138</v>
      </c>
      <c r="G87" s="73" t="s">
        <v>44</v>
      </c>
      <c r="H87" s="80" t="s">
        <v>145</v>
      </c>
      <c r="I87" s="76">
        <v>3</v>
      </c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88" spans="1:34" s="34" customFormat="1" ht="22.5" customHeight="1" x14ac:dyDescent="0.25">
      <c r="A88" s="62">
        <f t="shared" si="3"/>
        <v>5</v>
      </c>
      <c r="B88" s="35" t="s">
        <v>146</v>
      </c>
      <c r="C88" s="36">
        <v>15</v>
      </c>
      <c r="D88" s="35" t="s">
        <v>36</v>
      </c>
      <c r="E88" s="35" t="s">
        <v>137</v>
      </c>
      <c r="F88" s="57" t="s">
        <v>138</v>
      </c>
      <c r="G88" s="73" t="s">
        <v>44</v>
      </c>
      <c r="H88" s="80" t="s">
        <v>147</v>
      </c>
      <c r="I88" s="76">
        <v>15</v>
      </c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89" spans="1:34" s="34" customFormat="1" ht="22.5" customHeight="1" x14ac:dyDescent="0.25">
      <c r="A89" s="62">
        <f t="shared" si="3"/>
        <v>6</v>
      </c>
      <c r="B89" s="35" t="s">
        <v>148</v>
      </c>
      <c r="C89" s="36">
        <v>15</v>
      </c>
      <c r="D89" s="35" t="s">
        <v>36</v>
      </c>
      <c r="E89" s="35" t="s">
        <v>137</v>
      </c>
      <c r="F89" s="57" t="s">
        <v>138</v>
      </c>
      <c r="G89" s="73" t="s">
        <v>44</v>
      </c>
      <c r="H89" s="80" t="s">
        <v>147</v>
      </c>
      <c r="I89" s="76">
        <v>15</v>
      </c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90" spans="1:34" s="34" customFormat="1" ht="22.5" customHeight="1" x14ac:dyDescent="0.25">
      <c r="A90" s="62">
        <f t="shared" si="3"/>
        <v>7</v>
      </c>
      <c r="B90" s="35" t="s">
        <v>149</v>
      </c>
      <c r="C90" s="36">
        <v>15</v>
      </c>
      <c r="D90" s="35" t="s">
        <v>36</v>
      </c>
      <c r="E90" s="35" t="s">
        <v>137</v>
      </c>
      <c r="F90" s="57" t="s">
        <v>138</v>
      </c>
      <c r="G90" s="73" t="s">
        <v>47</v>
      </c>
      <c r="H90" s="80" t="s">
        <v>147</v>
      </c>
      <c r="I90" s="76">
        <v>15</v>
      </c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91" spans="1:34" s="34" customFormat="1" ht="22.5" customHeight="1" x14ac:dyDescent="0.25">
      <c r="A91" s="62">
        <f t="shared" si="3"/>
        <v>8</v>
      </c>
      <c r="B91" s="35" t="s">
        <v>150</v>
      </c>
      <c r="C91" s="36">
        <v>15</v>
      </c>
      <c r="D91" s="35" t="s">
        <v>36</v>
      </c>
      <c r="E91" s="35" t="s">
        <v>137</v>
      </c>
      <c r="F91" s="57" t="s">
        <v>138</v>
      </c>
      <c r="G91" s="73" t="s">
        <v>47</v>
      </c>
      <c r="H91" s="80" t="s">
        <v>147</v>
      </c>
      <c r="I91" s="76">
        <v>15</v>
      </c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92" spans="1:34" s="34" customFormat="1" ht="22.5" x14ac:dyDescent="0.25">
      <c r="A92" s="62">
        <f t="shared" si="3"/>
        <v>9</v>
      </c>
      <c r="B92" s="35" t="s">
        <v>151</v>
      </c>
      <c r="C92" s="36">
        <v>15</v>
      </c>
      <c r="D92" s="35" t="s">
        <v>36</v>
      </c>
      <c r="E92" s="35" t="s">
        <v>137</v>
      </c>
      <c r="F92" s="57" t="s">
        <v>138</v>
      </c>
      <c r="G92" s="73" t="s">
        <v>47</v>
      </c>
      <c r="H92" s="80" t="s">
        <v>147</v>
      </c>
      <c r="I92" s="76">
        <v>15</v>
      </c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0</v>
      </c>
    </row>
    <row r="93" spans="1:34" s="34" customFormat="1" ht="33.75" x14ac:dyDescent="0.25">
      <c r="A93" s="62">
        <f>1</f>
        <v>1</v>
      </c>
      <c r="B93" s="35" t="s">
        <v>56</v>
      </c>
      <c r="C93" s="36">
        <v>50</v>
      </c>
      <c r="D93" s="35" t="s">
        <v>36</v>
      </c>
      <c r="E93" s="35" t="s">
        <v>42</v>
      </c>
      <c r="F93" s="57" t="s">
        <v>138</v>
      </c>
      <c r="G93" s="73" t="s">
        <v>44</v>
      </c>
      <c r="H93" s="79"/>
      <c r="I93" s="75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50</v>
      </c>
    </row>
    <row r="94" spans="1:34" s="34" customFormat="1" ht="33.75" x14ac:dyDescent="0.25">
      <c r="A94" s="62">
        <f t="shared" ref="A94:A104" si="4">A93+1</f>
        <v>2</v>
      </c>
      <c r="B94" s="35" t="s">
        <v>58</v>
      </c>
      <c r="C94" s="36">
        <v>1</v>
      </c>
      <c r="D94" s="35" t="s">
        <v>59</v>
      </c>
      <c r="E94" s="35" t="s">
        <v>42</v>
      </c>
      <c r="F94" s="57" t="s">
        <v>138</v>
      </c>
      <c r="G94" s="73" t="s">
        <v>44</v>
      </c>
      <c r="H94" s="79"/>
      <c r="I94" s="75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1</v>
      </c>
    </row>
    <row r="95" spans="1:34" s="34" customFormat="1" ht="33.75" x14ac:dyDescent="0.25">
      <c r="A95" s="62">
        <f t="shared" si="4"/>
        <v>3</v>
      </c>
      <c r="B95" s="35" t="s">
        <v>60</v>
      </c>
      <c r="C95" s="36">
        <v>1</v>
      </c>
      <c r="D95" s="35" t="s">
        <v>36</v>
      </c>
      <c r="E95" s="35" t="s">
        <v>42</v>
      </c>
      <c r="F95" s="57" t="s">
        <v>138</v>
      </c>
      <c r="G95" s="73" t="s">
        <v>44</v>
      </c>
      <c r="H95" s="79"/>
      <c r="I95" s="75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1</v>
      </c>
    </row>
    <row r="96" spans="1:34" s="34" customFormat="1" ht="33.75" x14ac:dyDescent="0.25">
      <c r="A96" s="62">
        <f t="shared" si="4"/>
        <v>4</v>
      </c>
      <c r="B96" s="35" t="s">
        <v>64</v>
      </c>
      <c r="C96" s="36">
        <v>2</v>
      </c>
      <c r="D96" s="35" t="s">
        <v>36</v>
      </c>
      <c r="E96" s="35" t="s">
        <v>42</v>
      </c>
      <c r="F96" s="57" t="s">
        <v>138</v>
      </c>
      <c r="G96" s="73" t="s">
        <v>44</v>
      </c>
      <c r="H96" s="79"/>
      <c r="I96" s="75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2</v>
      </c>
    </row>
    <row r="97" spans="1:34" s="34" customFormat="1" ht="33.75" x14ac:dyDescent="0.25">
      <c r="A97" s="62">
        <f t="shared" si="4"/>
        <v>5</v>
      </c>
      <c r="B97" s="35" t="s">
        <v>67</v>
      </c>
      <c r="C97" s="36">
        <v>5</v>
      </c>
      <c r="D97" s="35" t="s">
        <v>36</v>
      </c>
      <c r="E97" s="35" t="s">
        <v>42</v>
      </c>
      <c r="F97" s="57" t="s">
        <v>138</v>
      </c>
      <c r="G97" s="73" t="s">
        <v>44</v>
      </c>
      <c r="H97" s="79"/>
      <c r="I97" s="75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5</v>
      </c>
    </row>
    <row r="98" spans="1:34" s="34" customFormat="1" ht="33.75" x14ac:dyDescent="0.25">
      <c r="A98" s="62">
        <f t="shared" si="4"/>
        <v>6</v>
      </c>
      <c r="B98" s="37" t="s">
        <v>68</v>
      </c>
      <c r="C98" s="38">
        <v>5</v>
      </c>
      <c r="D98" s="37" t="s">
        <v>36</v>
      </c>
      <c r="E98" s="35" t="s">
        <v>42</v>
      </c>
      <c r="F98" s="57" t="s">
        <v>138</v>
      </c>
      <c r="G98" s="73" t="s">
        <v>44</v>
      </c>
      <c r="H98" s="79"/>
      <c r="I98" s="75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5</v>
      </c>
    </row>
    <row r="99" spans="1:34" s="34" customFormat="1" ht="33.75" x14ac:dyDescent="0.25">
      <c r="A99" s="62">
        <f t="shared" si="4"/>
        <v>7</v>
      </c>
      <c r="B99" s="35" t="s">
        <v>76</v>
      </c>
      <c r="C99" s="36">
        <v>2</v>
      </c>
      <c r="D99" s="35" t="s">
        <v>36</v>
      </c>
      <c r="E99" s="35" t="s">
        <v>42</v>
      </c>
      <c r="F99" s="57" t="s">
        <v>138</v>
      </c>
      <c r="G99" s="73" t="s">
        <v>44</v>
      </c>
      <c r="H99" s="79"/>
      <c r="I99" s="75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2</v>
      </c>
    </row>
    <row r="100" spans="1:34" s="34" customFormat="1" ht="33.75" x14ac:dyDescent="0.25">
      <c r="A100" s="62">
        <f t="shared" si="4"/>
        <v>8</v>
      </c>
      <c r="B100" s="35" t="s">
        <v>77</v>
      </c>
      <c r="C100" s="36">
        <v>15</v>
      </c>
      <c r="D100" s="35" t="s">
        <v>36</v>
      </c>
      <c r="E100" s="35" t="s">
        <v>42</v>
      </c>
      <c r="F100" s="57" t="s">
        <v>138</v>
      </c>
      <c r="G100" s="73" t="s">
        <v>44</v>
      </c>
      <c r="H100" s="79"/>
      <c r="I100" s="75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15</v>
      </c>
    </row>
    <row r="101" spans="1:34" s="34" customFormat="1" ht="33.75" x14ac:dyDescent="0.25">
      <c r="A101" s="62">
        <f t="shared" si="4"/>
        <v>9</v>
      </c>
      <c r="B101" s="35" t="s">
        <v>77</v>
      </c>
      <c r="C101" s="36">
        <v>15</v>
      </c>
      <c r="D101" s="35" t="s">
        <v>36</v>
      </c>
      <c r="E101" s="35" t="s">
        <v>42</v>
      </c>
      <c r="F101" s="57" t="s">
        <v>138</v>
      </c>
      <c r="G101" s="73" t="s">
        <v>44</v>
      </c>
      <c r="H101" s="79"/>
      <c r="I101" s="75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15</v>
      </c>
    </row>
    <row r="102" spans="1:34" s="34" customFormat="1" ht="33.75" x14ac:dyDescent="0.25">
      <c r="A102" s="62">
        <f t="shared" si="4"/>
        <v>10</v>
      </c>
      <c r="B102" s="35" t="s">
        <v>152</v>
      </c>
      <c r="C102" s="36">
        <v>1</v>
      </c>
      <c r="D102" s="35" t="s">
        <v>36</v>
      </c>
      <c r="E102" s="35" t="s">
        <v>42</v>
      </c>
      <c r="F102" s="57" t="s">
        <v>138</v>
      </c>
      <c r="G102" s="73" t="s">
        <v>44</v>
      </c>
      <c r="H102" s="79"/>
      <c r="I102" s="75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1</v>
      </c>
    </row>
    <row r="103" spans="1:34" s="34" customFormat="1" ht="33.75" x14ac:dyDescent="0.25">
      <c r="A103" s="62">
        <f t="shared" si="4"/>
        <v>11</v>
      </c>
      <c r="B103" s="35" t="s">
        <v>153</v>
      </c>
      <c r="C103" s="36">
        <v>20</v>
      </c>
      <c r="D103" s="35" t="s">
        <v>36</v>
      </c>
      <c r="E103" s="35" t="s">
        <v>42</v>
      </c>
      <c r="F103" s="57" t="s">
        <v>138</v>
      </c>
      <c r="G103" s="73" t="s">
        <v>44</v>
      </c>
      <c r="H103" s="79"/>
      <c r="I103" s="75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20</v>
      </c>
    </row>
    <row r="104" spans="1:34" s="34" customFormat="1" ht="33.75" x14ac:dyDescent="0.25">
      <c r="A104" s="62">
        <f t="shared" si="4"/>
        <v>12</v>
      </c>
      <c r="B104" s="35" t="s">
        <v>140</v>
      </c>
      <c r="C104" s="36">
        <v>1</v>
      </c>
      <c r="D104" s="35" t="s">
        <v>141</v>
      </c>
      <c r="E104" s="35" t="s">
        <v>42</v>
      </c>
      <c r="F104" s="57" t="s">
        <v>138</v>
      </c>
      <c r="G104" s="73" t="s">
        <v>47</v>
      </c>
      <c r="H104" s="79"/>
      <c r="I104" s="75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1</v>
      </c>
    </row>
    <row r="105" spans="1:34" s="34" customFormat="1" ht="33.75" x14ac:dyDescent="0.25">
      <c r="A105" s="62">
        <f>1</f>
        <v>1</v>
      </c>
      <c r="B105" s="35" t="s">
        <v>56</v>
      </c>
      <c r="C105" s="36">
        <v>30</v>
      </c>
      <c r="D105" s="35" t="s">
        <v>36</v>
      </c>
      <c r="E105" s="35" t="s">
        <v>42</v>
      </c>
      <c r="F105" s="56" t="s">
        <v>154</v>
      </c>
      <c r="G105" s="73" t="s">
        <v>44</v>
      </c>
      <c r="H105" s="79"/>
      <c r="I105" s="75"/>
      <c r="J105" s="68"/>
      <c r="K105" s="68"/>
      <c r="L105" s="68"/>
      <c r="M105" s="68">
        <v>20</v>
      </c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10</v>
      </c>
    </row>
    <row r="106" spans="1:34" s="34" customFormat="1" ht="33.75" x14ac:dyDescent="0.25">
      <c r="A106" s="62">
        <f t="shared" ref="A106:A111" si="5">A105+1</f>
        <v>2</v>
      </c>
      <c r="B106" s="35" t="s">
        <v>60</v>
      </c>
      <c r="C106" s="36">
        <v>1</v>
      </c>
      <c r="D106" s="35" t="s">
        <v>36</v>
      </c>
      <c r="E106" s="35" t="s">
        <v>42</v>
      </c>
      <c r="F106" s="56" t="s">
        <v>154</v>
      </c>
      <c r="G106" s="73" t="s">
        <v>44</v>
      </c>
      <c r="H106" s="79"/>
      <c r="I106" s="75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1</v>
      </c>
    </row>
    <row r="107" spans="1:34" s="34" customFormat="1" ht="33.75" x14ac:dyDescent="0.25">
      <c r="A107" s="62">
        <f t="shared" si="5"/>
        <v>3</v>
      </c>
      <c r="B107" s="35" t="s">
        <v>64</v>
      </c>
      <c r="C107" s="36">
        <v>2</v>
      </c>
      <c r="D107" s="35" t="s">
        <v>36</v>
      </c>
      <c r="E107" s="35" t="s">
        <v>42</v>
      </c>
      <c r="F107" s="56" t="s">
        <v>154</v>
      </c>
      <c r="G107" s="73" t="s">
        <v>44</v>
      </c>
      <c r="H107" s="79"/>
      <c r="I107" s="75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2</v>
      </c>
    </row>
    <row r="108" spans="1:34" s="34" customFormat="1" ht="33.75" x14ac:dyDescent="0.25">
      <c r="A108" s="62">
        <f t="shared" si="5"/>
        <v>4</v>
      </c>
      <c r="B108" s="35" t="s">
        <v>67</v>
      </c>
      <c r="C108" s="36">
        <v>5</v>
      </c>
      <c r="D108" s="35" t="s">
        <v>36</v>
      </c>
      <c r="E108" s="35" t="s">
        <v>42</v>
      </c>
      <c r="F108" s="56" t="s">
        <v>154</v>
      </c>
      <c r="G108" s="73" t="s">
        <v>44</v>
      </c>
      <c r="H108" s="79"/>
      <c r="I108" s="75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5</v>
      </c>
    </row>
    <row r="109" spans="1:34" s="34" customFormat="1" ht="33.75" x14ac:dyDescent="0.25">
      <c r="A109" s="62">
        <f t="shared" si="5"/>
        <v>5</v>
      </c>
      <c r="B109" s="37" t="s">
        <v>68</v>
      </c>
      <c r="C109" s="38">
        <v>5</v>
      </c>
      <c r="D109" s="37" t="s">
        <v>36</v>
      </c>
      <c r="E109" s="35" t="s">
        <v>42</v>
      </c>
      <c r="F109" s="56" t="s">
        <v>154</v>
      </c>
      <c r="G109" s="73" t="s">
        <v>44</v>
      </c>
      <c r="H109" s="79"/>
      <c r="I109" s="75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5</v>
      </c>
    </row>
    <row r="110" spans="1:34" s="34" customFormat="1" ht="33.75" x14ac:dyDescent="0.25">
      <c r="A110" s="62">
        <f t="shared" si="5"/>
        <v>6</v>
      </c>
      <c r="B110" s="35" t="s">
        <v>76</v>
      </c>
      <c r="C110" s="36">
        <v>2</v>
      </c>
      <c r="D110" s="35" t="s">
        <v>36</v>
      </c>
      <c r="E110" s="35" t="s">
        <v>42</v>
      </c>
      <c r="F110" s="56" t="s">
        <v>154</v>
      </c>
      <c r="G110" s="73" t="s">
        <v>44</v>
      </c>
      <c r="H110" s="79"/>
      <c r="I110" s="75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2</v>
      </c>
    </row>
    <row r="111" spans="1:34" s="34" customFormat="1" ht="34.5" thickBot="1" x14ac:dyDescent="0.3">
      <c r="A111" s="63">
        <f t="shared" si="5"/>
        <v>7</v>
      </c>
      <c r="B111" s="64" t="s">
        <v>77</v>
      </c>
      <c r="C111" s="65">
        <v>15</v>
      </c>
      <c r="D111" s="64" t="s">
        <v>36</v>
      </c>
      <c r="E111" s="64" t="s">
        <v>42</v>
      </c>
      <c r="F111" s="66" t="s">
        <v>154</v>
      </c>
      <c r="G111" s="74" t="s">
        <v>44</v>
      </c>
      <c r="H111" s="81"/>
      <c r="I111" s="75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>
        <f>Tabla1[[#This Row],[Cantidad]]-Tabla1[[#This Row],[SAL 0]]-Tabla1[[#This Row],[SAL 1]]-Tabla1[[#This Row],[SAL2]]-Tabla1[[#This Row],[SAL3]]-Tabla1[[#This Row],[SAL 4]]-Tabla1[[#This Row],[SAL 5]]-Tabla1[[#This Row],[SAL 6]]-Tabla1[[#This Row],[SAL 7]]-Tabla1[[#This Row],[SAL 20]]-Tabla1[[#This Row],[SAL 21]]-Tabla1[[#This Row],[SAL 22]]-Tabla1[[#This Row],[SAL 17]]-Tabla1[[#This Row],[SAL 18]]-Tabla1[[#This Row],[SAL 19]]-Tabla1[[#This Row],[SAL 23]]-Tabla1[[#This Row],[SAL 24]]-Tabla1[[#This Row],[SAL 8]]-Tabla1[[#This Row],[SAL 9]]-Tabla1[[#This Row],[SAL 11]]-Tabla1[[#This Row],[SAL 10]]-Tabla1[[#This Row],[SAL 12]]</f>
        <v>15</v>
      </c>
    </row>
    <row r="116" spans="1:4" s="45" customFormat="1" ht="30" x14ac:dyDescent="0.25">
      <c r="A116" s="42"/>
      <c r="B116" s="43" t="s">
        <v>155</v>
      </c>
      <c r="C116" s="43" t="s">
        <v>156</v>
      </c>
      <c r="D116" s="44" t="s">
        <v>157</v>
      </c>
    </row>
    <row r="117" spans="1:4" x14ac:dyDescent="0.25">
      <c r="A117" s="46" t="s">
        <v>43</v>
      </c>
      <c r="B117" s="32">
        <f>COUNTIFS(Tabla1[LLEGADA DEL ITEM],"SI",Tabla1[CARRERA],"LGS")</f>
        <v>80</v>
      </c>
      <c r="C117" s="47">
        <v>82</v>
      </c>
      <c r="D117" s="48">
        <f>B117/C117</f>
        <v>0.97560975609756095</v>
      </c>
    </row>
    <row r="118" spans="1:4" x14ac:dyDescent="0.25">
      <c r="A118" s="46" t="s">
        <v>138</v>
      </c>
      <c r="B118" s="32">
        <f>COUNTIFS(Tabla1[LLEGADA DEL ITEM],"SI",Tabla1[CARRERA],"LND")</f>
        <v>16</v>
      </c>
      <c r="C118" s="47">
        <v>21</v>
      </c>
      <c r="D118" s="48">
        <f t="shared" ref="D118:D119" si="6">B118/C118</f>
        <v>0.76190476190476186</v>
      </c>
    </row>
    <row r="119" spans="1:4" ht="15.75" thickBot="1" x14ac:dyDescent="0.3">
      <c r="A119" s="49" t="s">
        <v>154</v>
      </c>
      <c r="B119" s="50">
        <f>COUNTIFS(Tabla1[LLEGADA DEL ITEM],"SI",Tabla1[CARRERA],"LTH")</f>
        <v>7</v>
      </c>
      <c r="C119" s="51">
        <v>7</v>
      </c>
      <c r="D119" s="52">
        <f t="shared" si="6"/>
        <v>1</v>
      </c>
    </row>
  </sheetData>
  <phoneticPr fontId="23" type="noConversion"/>
  <conditionalFormatting sqref="G2:G111">
    <cfRule type="cellIs" dxfId="8" priority="2" operator="equal">
      <formula>"NO"</formula>
    </cfRule>
  </conditionalFormatting>
  <conditionalFormatting sqref="AH2:AH111">
    <cfRule type="cellIs" dxfId="7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CFA6-D9EA-4C87-8B67-C632EF6C493C}">
  <sheetPr>
    <tabColor theme="9" tint="-0.499984740745262"/>
  </sheetPr>
  <dimension ref="A1:AH155"/>
  <sheetViews>
    <sheetView zoomScaleNormal="100" workbookViewId="0">
      <selection activeCell="B64" sqref="B64"/>
    </sheetView>
  </sheetViews>
  <sheetFormatPr baseColWidth="10" defaultRowHeight="15" x14ac:dyDescent="0.25"/>
  <cols>
    <col min="1" max="1" width="7.28515625" customWidth="1"/>
    <col min="2" max="2" width="36.28515625" style="53" customWidth="1"/>
    <col min="3" max="3" width="13.42578125" customWidth="1"/>
    <col min="5" max="5" width="15.7109375" customWidth="1"/>
    <col min="6" max="6" width="11.42578125" style="19"/>
    <col min="7" max="7" width="14.85546875" customWidth="1"/>
    <col min="8" max="8" width="20.140625" customWidth="1"/>
    <col min="9" max="9" width="11.85546875" customWidth="1"/>
    <col min="10" max="21" width="11.42578125" customWidth="1"/>
    <col min="22" max="33" width="11.42578125" hidden="1" customWidth="1"/>
  </cols>
  <sheetData>
    <row r="1" spans="1:34" ht="45" customHeight="1" x14ac:dyDescent="0.25">
      <c r="A1" s="58" t="s">
        <v>33</v>
      </c>
      <c r="B1" s="59" t="s">
        <v>34</v>
      </c>
      <c r="C1" s="59" t="s">
        <v>35</v>
      </c>
      <c r="D1" s="59" t="s">
        <v>36</v>
      </c>
      <c r="E1" s="59" t="s">
        <v>37</v>
      </c>
      <c r="F1" s="60" t="s">
        <v>38</v>
      </c>
      <c r="G1" s="71" t="s">
        <v>39</v>
      </c>
      <c r="H1" s="77" t="s">
        <v>40</v>
      </c>
      <c r="I1" s="67" t="s">
        <v>169</v>
      </c>
      <c r="J1" s="54" t="s">
        <v>158</v>
      </c>
      <c r="K1" s="33" t="s">
        <v>159</v>
      </c>
      <c r="L1" s="33" t="s">
        <v>160</v>
      </c>
      <c r="M1" s="33" t="s">
        <v>161</v>
      </c>
      <c r="N1" s="33" t="s">
        <v>162</v>
      </c>
      <c r="O1" s="33" t="s">
        <v>163</v>
      </c>
      <c r="P1" s="67" t="s">
        <v>164</v>
      </c>
      <c r="Q1" s="54" t="s">
        <v>165</v>
      </c>
      <c r="R1" s="33" t="s">
        <v>166</v>
      </c>
      <c r="S1" s="33" t="s">
        <v>167</v>
      </c>
      <c r="T1" s="33" t="s">
        <v>176</v>
      </c>
      <c r="U1" s="33" t="s">
        <v>177</v>
      </c>
      <c r="V1" s="33" t="s">
        <v>178</v>
      </c>
      <c r="W1" s="67" t="s">
        <v>179</v>
      </c>
      <c r="X1" s="54" t="s">
        <v>180</v>
      </c>
      <c r="Y1" s="33" t="s">
        <v>185</v>
      </c>
      <c r="Z1" s="33" t="s">
        <v>186</v>
      </c>
      <c r="AA1" s="67" t="s">
        <v>187</v>
      </c>
      <c r="AB1" s="54" t="s">
        <v>188</v>
      </c>
      <c r="AC1" s="33" t="s">
        <v>189</v>
      </c>
      <c r="AD1" s="54" t="s">
        <v>190</v>
      </c>
      <c r="AE1" s="33" t="s">
        <v>191</v>
      </c>
      <c r="AF1" s="54" t="s">
        <v>192</v>
      </c>
      <c r="AG1" s="33" t="s">
        <v>193</v>
      </c>
      <c r="AH1" s="33" t="s">
        <v>168</v>
      </c>
    </row>
    <row r="2" spans="1:34" s="34" customFormat="1" ht="33.75" hidden="1" x14ac:dyDescent="0.25">
      <c r="A2" s="61">
        <v>1</v>
      </c>
      <c r="B2" s="82" t="s">
        <v>56</v>
      </c>
      <c r="C2" s="97">
        <v>30</v>
      </c>
      <c r="D2" s="98" t="s">
        <v>36</v>
      </c>
      <c r="E2" s="82" t="s">
        <v>42</v>
      </c>
      <c r="F2" s="112" t="s">
        <v>240</v>
      </c>
      <c r="G2" s="114" t="s">
        <v>243</v>
      </c>
      <c r="H2" s="78"/>
      <c r="I2" s="75">
        <v>30</v>
      </c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0</v>
      </c>
    </row>
    <row r="3" spans="1:34" s="34" customFormat="1" ht="33.75" hidden="1" x14ac:dyDescent="0.25">
      <c r="A3" s="62">
        <f>A2+1</f>
        <v>2</v>
      </c>
      <c r="B3" s="82" t="s">
        <v>60</v>
      </c>
      <c r="C3" s="97">
        <v>1</v>
      </c>
      <c r="D3" s="98" t="s">
        <v>36</v>
      </c>
      <c r="E3" s="82" t="s">
        <v>42</v>
      </c>
      <c r="F3" s="112" t="s">
        <v>240</v>
      </c>
      <c r="G3" s="115" t="s">
        <v>243</v>
      </c>
      <c r="H3" s="79"/>
      <c r="I3" s="75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</v>
      </c>
    </row>
    <row r="4" spans="1:34" s="34" customFormat="1" ht="33.75" hidden="1" x14ac:dyDescent="0.25">
      <c r="A4" s="62">
        <f t="shared" ref="A4:A38" si="0">A3+1</f>
        <v>3</v>
      </c>
      <c r="B4" s="82" t="s">
        <v>64</v>
      </c>
      <c r="C4" s="97">
        <v>2</v>
      </c>
      <c r="D4" s="98" t="s">
        <v>36</v>
      </c>
      <c r="E4" s="82" t="s">
        <v>42</v>
      </c>
      <c r="F4" s="112" t="s">
        <v>240</v>
      </c>
      <c r="G4" s="115" t="s">
        <v>244</v>
      </c>
      <c r="H4" s="79"/>
      <c r="I4" s="75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2</v>
      </c>
    </row>
    <row r="5" spans="1:34" s="34" customFormat="1" ht="33.75" hidden="1" x14ac:dyDescent="0.25">
      <c r="A5" s="62">
        <f t="shared" si="0"/>
        <v>4</v>
      </c>
      <c r="B5" s="82" t="s">
        <v>67</v>
      </c>
      <c r="C5" s="97">
        <v>5</v>
      </c>
      <c r="D5" s="98" t="s">
        <v>36</v>
      </c>
      <c r="E5" s="82" t="s">
        <v>42</v>
      </c>
      <c r="F5" s="112" t="s">
        <v>240</v>
      </c>
      <c r="G5" s="115" t="s">
        <v>244</v>
      </c>
      <c r="H5" s="79"/>
      <c r="I5" s="75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5</v>
      </c>
    </row>
    <row r="6" spans="1:34" s="34" customFormat="1" ht="33.75" hidden="1" x14ac:dyDescent="0.25">
      <c r="A6" s="62">
        <f t="shared" si="0"/>
        <v>5</v>
      </c>
      <c r="B6" s="83" t="s">
        <v>68</v>
      </c>
      <c r="C6" s="99">
        <v>5</v>
      </c>
      <c r="D6" s="100" t="s">
        <v>36</v>
      </c>
      <c r="E6" s="82" t="s">
        <v>42</v>
      </c>
      <c r="F6" s="112" t="s">
        <v>240</v>
      </c>
      <c r="G6" s="115" t="s">
        <v>244</v>
      </c>
      <c r="H6" s="79"/>
      <c r="I6" s="75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5</v>
      </c>
    </row>
    <row r="7" spans="1:34" s="34" customFormat="1" ht="33.75" hidden="1" x14ac:dyDescent="0.25">
      <c r="A7" s="62">
        <f t="shared" si="0"/>
        <v>6</v>
      </c>
      <c r="B7" s="82" t="s">
        <v>76</v>
      </c>
      <c r="C7" s="97">
        <v>2</v>
      </c>
      <c r="D7" s="98" t="s">
        <v>36</v>
      </c>
      <c r="E7" s="82" t="s">
        <v>42</v>
      </c>
      <c r="F7" s="112" t="s">
        <v>240</v>
      </c>
      <c r="G7" s="115" t="s">
        <v>244</v>
      </c>
      <c r="H7" s="79"/>
      <c r="I7" s="75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2</v>
      </c>
    </row>
    <row r="8" spans="1:34" s="34" customFormat="1" ht="33.75" hidden="1" x14ac:dyDescent="0.25">
      <c r="A8" s="62">
        <f t="shared" si="0"/>
        <v>7</v>
      </c>
      <c r="B8" s="82" t="s">
        <v>77</v>
      </c>
      <c r="C8" s="97">
        <v>15</v>
      </c>
      <c r="D8" s="98" t="s">
        <v>36</v>
      </c>
      <c r="E8" s="82" t="s">
        <v>42</v>
      </c>
      <c r="F8" s="112" t="s">
        <v>240</v>
      </c>
      <c r="G8" s="115" t="s">
        <v>243</v>
      </c>
      <c r="H8" s="79"/>
      <c r="I8" s="75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15</v>
      </c>
    </row>
    <row r="9" spans="1:34" s="34" customFormat="1" ht="33.75" hidden="1" x14ac:dyDescent="0.25">
      <c r="A9" s="62">
        <f t="shared" si="0"/>
        <v>8</v>
      </c>
      <c r="B9" s="82" t="s">
        <v>56</v>
      </c>
      <c r="C9" s="97">
        <v>50</v>
      </c>
      <c r="D9" s="98" t="s">
        <v>36</v>
      </c>
      <c r="E9" s="82" t="s">
        <v>42</v>
      </c>
      <c r="F9" s="112" t="s">
        <v>241</v>
      </c>
      <c r="G9" s="115" t="s">
        <v>243</v>
      </c>
      <c r="H9" s="79"/>
      <c r="I9" s="75">
        <v>10</v>
      </c>
      <c r="J9" s="68"/>
      <c r="K9" s="68"/>
      <c r="L9" s="68">
        <v>20</v>
      </c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20</v>
      </c>
    </row>
    <row r="10" spans="1:34" s="34" customFormat="1" ht="33.75" hidden="1" x14ac:dyDescent="0.25">
      <c r="A10" s="62">
        <f>A8+1</f>
        <v>8</v>
      </c>
      <c r="B10" s="82" t="s">
        <v>58</v>
      </c>
      <c r="C10" s="97">
        <v>1</v>
      </c>
      <c r="D10" s="98" t="s">
        <v>59</v>
      </c>
      <c r="E10" s="82" t="s">
        <v>42</v>
      </c>
      <c r="F10" s="112" t="s">
        <v>241</v>
      </c>
      <c r="G10" s="115" t="s">
        <v>243</v>
      </c>
      <c r="H10" s="79"/>
      <c r="I10" s="75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</v>
      </c>
    </row>
    <row r="11" spans="1:34" s="34" customFormat="1" ht="33.75" hidden="1" x14ac:dyDescent="0.25">
      <c r="A11" s="62">
        <f t="shared" si="0"/>
        <v>9</v>
      </c>
      <c r="B11" s="82" t="s">
        <v>60</v>
      </c>
      <c r="C11" s="97">
        <v>1</v>
      </c>
      <c r="D11" s="98" t="s">
        <v>36</v>
      </c>
      <c r="E11" s="82" t="s">
        <v>42</v>
      </c>
      <c r="F11" s="112" t="s">
        <v>241</v>
      </c>
      <c r="G11" s="115" t="s">
        <v>243</v>
      </c>
      <c r="H11" s="79"/>
      <c r="I11" s="75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</v>
      </c>
    </row>
    <row r="12" spans="1:34" s="34" customFormat="1" ht="33.75" hidden="1" x14ac:dyDescent="0.25">
      <c r="A12" s="62">
        <f t="shared" si="0"/>
        <v>10</v>
      </c>
      <c r="B12" s="82" t="s">
        <v>64</v>
      </c>
      <c r="C12" s="97">
        <v>2</v>
      </c>
      <c r="D12" s="98" t="s">
        <v>36</v>
      </c>
      <c r="E12" s="82" t="s">
        <v>42</v>
      </c>
      <c r="F12" s="112" t="s">
        <v>241</v>
      </c>
      <c r="G12" s="115" t="s">
        <v>243</v>
      </c>
      <c r="H12" s="79"/>
      <c r="I12" s="75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2</v>
      </c>
    </row>
    <row r="13" spans="1:34" s="34" customFormat="1" ht="33.75" hidden="1" x14ac:dyDescent="0.25">
      <c r="A13" s="62">
        <f t="shared" si="0"/>
        <v>11</v>
      </c>
      <c r="B13" s="82" t="s">
        <v>67</v>
      </c>
      <c r="C13" s="97">
        <v>5</v>
      </c>
      <c r="D13" s="98" t="s">
        <v>36</v>
      </c>
      <c r="E13" s="82" t="s">
        <v>42</v>
      </c>
      <c r="F13" s="112" t="s">
        <v>241</v>
      </c>
      <c r="G13" s="115" t="s">
        <v>244</v>
      </c>
      <c r="H13" s="79"/>
      <c r="I13" s="75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5</v>
      </c>
    </row>
    <row r="14" spans="1:34" s="34" customFormat="1" ht="33.75" hidden="1" x14ac:dyDescent="0.25">
      <c r="A14" s="62">
        <f t="shared" si="0"/>
        <v>12</v>
      </c>
      <c r="B14" s="83" t="s">
        <v>68</v>
      </c>
      <c r="C14" s="99">
        <v>5</v>
      </c>
      <c r="D14" s="100" t="s">
        <v>36</v>
      </c>
      <c r="E14" s="82" t="s">
        <v>42</v>
      </c>
      <c r="F14" s="112" t="s">
        <v>241</v>
      </c>
      <c r="G14" s="115" t="s">
        <v>244</v>
      </c>
      <c r="H14" s="79"/>
      <c r="I14" s="75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5</v>
      </c>
    </row>
    <row r="15" spans="1:34" s="34" customFormat="1" ht="33.75" hidden="1" x14ac:dyDescent="0.25">
      <c r="A15" s="62">
        <f t="shared" si="0"/>
        <v>13</v>
      </c>
      <c r="B15" s="82" t="s">
        <v>76</v>
      </c>
      <c r="C15" s="97">
        <v>2</v>
      </c>
      <c r="D15" s="98" t="s">
        <v>36</v>
      </c>
      <c r="E15" s="82" t="s">
        <v>42</v>
      </c>
      <c r="F15" s="112" t="s">
        <v>241</v>
      </c>
      <c r="G15" s="115" t="s">
        <v>244</v>
      </c>
      <c r="H15" s="79"/>
      <c r="I15" s="75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2</v>
      </c>
    </row>
    <row r="16" spans="1:34" s="34" customFormat="1" ht="33.75" hidden="1" x14ac:dyDescent="0.25">
      <c r="A16" s="62">
        <f t="shared" si="0"/>
        <v>14</v>
      </c>
      <c r="B16" s="82" t="s">
        <v>77</v>
      </c>
      <c r="C16" s="97">
        <v>15</v>
      </c>
      <c r="D16" s="98" t="s">
        <v>36</v>
      </c>
      <c r="E16" s="82" t="s">
        <v>42</v>
      </c>
      <c r="F16" s="112" t="s">
        <v>241</v>
      </c>
      <c r="G16" s="115" t="s">
        <v>243</v>
      </c>
      <c r="H16" s="79"/>
      <c r="I16" s="75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15</v>
      </c>
    </row>
    <row r="17" spans="1:34" s="34" customFormat="1" ht="33.75" hidden="1" x14ac:dyDescent="0.25">
      <c r="A17" s="62">
        <f t="shared" si="0"/>
        <v>15</v>
      </c>
      <c r="B17" s="82" t="s">
        <v>77</v>
      </c>
      <c r="C17" s="97">
        <v>15</v>
      </c>
      <c r="D17" s="98" t="s">
        <v>36</v>
      </c>
      <c r="E17" s="82" t="s">
        <v>42</v>
      </c>
      <c r="F17" s="112" t="s">
        <v>241</v>
      </c>
      <c r="G17" s="115" t="s">
        <v>243</v>
      </c>
      <c r="H17" s="79"/>
      <c r="I17" s="75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15</v>
      </c>
    </row>
    <row r="18" spans="1:34" s="34" customFormat="1" ht="33.75" hidden="1" x14ac:dyDescent="0.25">
      <c r="A18" s="62">
        <f t="shared" si="0"/>
        <v>16</v>
      </c>
      <c r="B18" s="82" t="s">
        <v>152</v>
      </c>
      <c r="C18" s="97">
        <v>1</v>
      </c>
      <c r="D18" s="98" t="s">
        <v>36</v>
      </c>
      <c r="E18" s="82" t="s">
        <v>42</v>
      </c>
      <c r="F18" s="112" t="s">
        <v>241</v>
      </c>
      <c r="G18" s="115" t="s">
        <v>243</v>
      </c>
      <c r="H18" s="79"/>
      <c r="I18" s="75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</v>
      </c>
    </row>
    <row r="19" spans="1:34" s="34" customFormat="1" ht="33.75" hidden="1" x14ac:dyDescent="0.25">
      <c r="A19" s="62">
        <f t="shared" si="0"/>
        <v>17</v>
      </c>
      <c r="B19" s="82" t="s">
        <v>153</v>
      </c>
      <c r="C19" s="97">
        <v>20</v>
      </c>
      <c r="D19" s="98" t="s">
        <v>36</v>
      </c>
      <c r="E19" s="82" t="s">
        <v>42</v>
      </c>
      <c r="F19" s="112" t="s">
        <v>241</v>
      </c>
      <c r="G19" s="115" t="s">
        <v>243</v>
      </c>
      <c r="H19" s="79" t="s">
        <v>65</v>
      </c>
      <c r="I19" s="75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20</v>
      </c>
    </row>
    <row r="20" spans="1:34" s="34" customFormat="1" ht="33.75" hidden="1" x14ac:dyDescent="0.25">
      <c r="A20" s="62">
        <f t="shared" si="0"/>
        <v>18</v>
      </c>
      <c r="B20" s="82" t="s">
        <v>140</v>
      </c>
      <c r="C20" s="97">
        <v>1</v>
      </c>
      <c r="D20" s="98" t="s">
        <v>141</v>
      </c>
      <c r="E20" s="82" t="s">
        <v>42</v>
      </c>
      <c r="F20" s="112" t="s">
        <v>241</v>
      </c>
      <c r="G20" s="115" t="s">
        <v>243</v>
      </c>
      <c r="H20" s="79"/>
      <c r="I20" s="75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</v>
      </c>
    </row>
    <row r="21" spans="1:34" s="34" customFormat="1" ht="22.5" hidden="1" x14ac:dyDescent="0.25">
      <c r="A21" s="62">
        <f t="shared" si="0"/>
        <v>19</v>
      </c>
      <c r="B21" s="84" t="s">
        <v>86</v>
      </c>
      <c r="C21" s="101">
        <v>1</v>
      </c>
      <c r="D21" s="102" t="s">
        <v>36</v>
      </c>
      <c r="E21" s="111" t="s">
        <v>87</v>
      </c>
      <c r="F21" s="112" t="s">
        <v>242</v>
      </c>
      <c r="G21" s="115" t="s">
        <v>243</v>
      </c>
      <c r="H21" s="79"/>
      <c r="I21" s="75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</v>
      </c>
    </row>
    <row r="22" spans="1:34" s="34" customFormat="1" ht="22.5" hidden="1" x14ac:dyDescent="0.25">
      <c r="A22" s="62">
        <f t="shared" si="0"/>
        <v>20</v>
      </c>
      <c r="B22" s="84" t="s">
        <v>197</v>
      </c>
      <c r="C22" s="101">
        <v>1</v>
      </c>
      <c r="D22" s="102" t="s">
        <v>36</v>
      </c>
      <c r="E22" s="111" t="s">
        <v>87</v>
      </c>
      <c r="F22" s="112" t="s">
        <v>242</v>
      </c>
      <c r="G22" s="115" t="s">
        <v>243</v>
      </c>
      <c r="H22" s="79"/>
      <c r="I22" s="75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</v>
      </c>
    </row>
    <row r="23" spans="1:34" s="34" customFormat="1" ht="22.5" hidden="1" x14ac:dyDescent="0.25">
      <c r="A23" s="62">
        <f t="shared" si="0"/>
        <v>21</v>
      </c>
      <c r="B23" s="84" t="s">
        <v>198</v>
      </c>
      <c r="C23" s="101">
        <v>3</v>
      </c>
      <c r="D23" s="102" t="s">
        <v>36</v>
      </c>
      <c r="E23" s="111" t="s">
        <v>87</v>
      </c>
      <c r="F23" s="112" t="s">
        <v>242</v>
      </c>
      <c r="G23" s="115" t="s">
        <v>243</v>
      </c>
      <c r="H23" s="79"/>
      <c r="I23" s="75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3</v>
      </c>
    </row>
    <row r="24" spans="1:34" s="34" customFormat="1" ht="22.5" hidden="1" x14ac:dyDescent="0.25">
      <c r="A24" s="62">
        <f t="shared" si="0"/>
        <v>22</v>
      </c>
      <c r="B24" s="84" t="s">
        <v>88</v>
      </c>
      <c r="C24" s="103">
        <v>3</v>
      </c>
      <c r="D24" s="104" t="s">
        <v>89</v>
      </c>
      <c r="E24" s="111" t="s">
        <v>87</v>
      </c>
      <c r="F24" s="112" t="s">
        <v>242</v>
      </c>
      <c r="G24" s="115" t="s">
        <v>244</v>
      </c>
      <c r="H24" s="79"/>
      <c r="I24" s="75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3</v>
      </c>
    </row>
    <row r="25" spans="1:34" s="34" customFormat="1" ht="22.5" hidden="1" x14ac:dyDescent="0.25">
      <c r="A25" s="62">
        <f t="shared" si="0"/>
        <v>23</v>
      </c>
      <c r="B25" s="84" t="s">
        <v>90</v>
      </c>
      <c r="C25" s="101">
        <v>5</v>
      </c>
      <c r="D25" s="102" t="s">
        <v>36</v>
      </c>
      <c r="E25" s="111" t="s">
        <v>87</v>
      </c>
      <c r="F25" s="112" t="s">
        <v>242</v>
      </c>
      <c r="G25" s="115" t="s">
        <v>244</v>
      </c>
      <c r="H25" s="79"/>
      <c r="I25" s="75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5</v>
      </c>
    </row>
    <row r="26" spans="1:34" s="34" customFormat="1" ht="22.5" hidden="1" x14ac:dyDescent="0.25">
      <c r="A26" s="62">
        <f t="shared" si="0"/>
        <v>24</v>
      </c>
      <c r="B26" s="84" t="s">
        <v>91</v>
      </c>
      <c r="C26" s="101">
        <v>10</v>
      </c>
      <c r="D26" s="102" t="s">
        <v>36</v>
      </c>
      <c r="E26" s="111" t="s">
        <v>87</v>
      </c>
      <c r="F26" s="112" t="s">
        <v>242</v>
      </c>
      <c r="G26" s="115" t="s">
        <v>244</v>
      </c>
      <c r="H26" s="79"/>
      <c r="I26" s="75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10</v>
      </c>
    </row>
    <row r="27" spans="1:34" s="34" customFormat="1" ht="22.5" hidden="1" x14ac:dyDescent="0.25">
      <c r="A27" s="62">
        <f t="shared" si="0"/>
        <v>25</v>
      </c>
      <c r="B27" s="84" t="s">
        <v>92</v>
      </c>
      <c r="C27" s="103">
        <v>50</v>
      </c>
      <c r="D27" s="104" t="s">
        <v>36</v>
      </c>
      <c r="E27" s="111" t="s">
        <v>87</v>
      </c>
      <c r="F27" s="112" t="s">
        <v>242</v>
      </c>
      <c r="G27" s="115" t="s">
        <v>244</v>
      </c>
      <c r="H27" s="79"/>
      <c r="I27" s="75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50</v>
      </c>
    </row>
    <row r="28" spans="1:34" s="34" customFormat="1" ht="22.5" hidden="1" x14ac:dyDescent="0.25">
      <c r="A28" s="62">
        <f t="shared" si="0"/>
        <v>26</v>
      </c>
      <c r="B28" s="84" t="s">
        <v>94</v>
      </c>
      <c r="C28" s="103">
        <v>3</v>
      </c>
      <c r="D28" s="104" t="s">
        <v>36</v>
      </c>
      <c r="E28" s="111" t="s">
        <v>87</v>
      </c>
      <c r="F28" s="112" t="s">
        <v>242</v>
      </c>
      <c r="G28" s="115" t="s">
        <v>244</v>
      </c>
      <c r="H28" s="79"/>
      <c r="I28" s="75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3</v>
      </c>
    </row>
    <row r="29" spans="1:34" s="34" customFormat="1" ht="22.5" hidden="1" x14ac:dyDescent="0.25">
      <c r="A29" s="62">
        <f t="shared" si="0"/>
        <v>27</v>
      </c>
      <c r="B29" s="84" t="s">
        <v>199</v>
      </c>
      <c r="C29" s="103">
        <v>3</v>
      </c>
      <c r="D29" s="104" t="s">
        <v>36</v>
      </c>
      <c r="E29" s="111" t="s">
        <v>87</v>
      </c>
      <c r="F29" s="112" t="s">
        <v>242</v>
      </c>
      <c r="G29" s="115" t="s">
        <v>244</v>
      </c>
      <c r="H29" s="79"/>
      <c r="I29" s="75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3</v>
      </c>
    </row>
    <row r="30" spans="1:34" s="34" customFormat="1" ht="22.5" hidden="1" x14ac:dyDescent="0.25">
      <c r="A30" s="62">
        <f t="shared" si="0"/>
        <v>28</v>
      </c>
      <c r="B30" s="85" t="s">
        <v>95</v>
      </c>
      <c r="C30" s="103">
        <v>10</v>
      </c>
      <c r="D30" s="104" t="s">
        <v>36</v>
      </c>
      <c r="E30" s="111" t="s">
        <v>87</v>
      </c>
      <c r="F30" s="112" t="s">
        <v>242</v>
      </c>
      <c r="G30" s="115" t="s">
        <v>244</v>
      </c>
      <c r="H30" s="79"/>
      <c r="I30" s="75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10</v>
      </c>
    </row>
    <row r="31" spans="1:34" s="34" customFormat="1" ht="22.5" hidden="1" x14ac:dyDescent="0.25">
      <c r="A31" s="62">
        <f t="shared" si="0"/>
        <v>29</v>
      </c>
      <c r="B31" s="84" t="s">
        <v>96</v>
      </c>
      <c r="C31" s="101">
        <v>20</v>
      </c>
      <c r="D31" s="102" t="s">
        <v>36</v>
      </c>
      <c r="E31" s="111" t="s">
        <v>87</v>
      </c>
      <c r="F31" s="112" t="s">
        <v>242</v>
      </c>
      <c r="G31" s="115" t="s">
        <v>244</v>
      </c>
      <c r="H31" s="79"/>
      <c r="I31" s="75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20</v>
      </c>
    </row>
    <row r="32" spans="1:34" s="34" customFormat="1" ht="22.5" hidden="1" x14ac:dyDescent="0.25">
      <c r="A32" s="62">
        <f t="shared" si="0"/>
        <v>30</v>
      </c>
      <c r="B32" s="84" t="s">
        <v>97</v>
      </c>
      <c r="C32" s="101">
        <v>1</v>
      </c>
      <c r="D32" s="102" t="s">
        <v>36</v>
      </c>
      <c r="E32" s="111" t="s">
        <v>87</v>
      </c>
      <c r="F32" s="112" t="s">
        <v>242</v>
      </c>
      <c r="G32" s="115" t="s">
        <v>244</v>
      </c>
      <c r="H32" s="79"/>
      <c r="I32" s="75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</v>
      </c>
    </row>
    <row r="33" spans="1:34" s="34" customFormat="1" ht="22.5" hidden="1" x14ac:dyDescent="0.25">
      <c r="A33" s="62">
        <f t="shared" si="0"/>
        <v>31</v>
      </c>
      <c r="B33" s="84" t="s">
        <v>98</v>
      </c>
      <c r="C33" s="101">
        <v>1</v>
      </c>
      <c r="D33" s="102" t="s">
        <v>36</v>
      </c>
      <c r="E33" s="111" t="s">
        <v>87</v>
      </c>
      <c r="F33" s="112" t="s">
        <v>242</v>
      </c>
      <c r="G33" s="115" t="s">
        <v>244</v>
      </c>
      <c r="H33" s="79"/>
      <c r="I33" s="75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</v>
      </c>
    </row>
    <row r="34" spans="1:34" s="34" customFormat="1" ht="22.5" hidden="1" x14ac:dyDescent="0.25">
      <c r="A34" s="62">
        <f t="shared" si="0"/>
        <v>32</v>
      </c>
      <c r="B34" s="84" t="s">
        <v>99</v>
      </c>
      <c r="C34" s="103">
        <v>8</v>
      </c>
      <c r="D34" s="104" t="s">
        <v>100</v>
      </c>
      <c r="E34" s="111" t="s">
        <v>87</v>
      </c>
      <c r="F34" s="112" t="s">
        <v>242</v>
      </c>
      <c r="G34" s="115" t="s">
        <v>244</v>
      </c>
      <c r="H34" s="79"/>
      <c r="I34" s="75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8</v>
      </c>
    </row>
    <row r="35" spans="1:34" s="34" customFormat="1" ht="22.5" hidden="1" x14ac:dyDescent="0.25">
      <c r="A35" s="62">
        <f t="shared" si="0"/>
        <v>33</v>
      </c>
      <c r="B35" s="84" t="s">
        <v>101</v>
      </c>
      <c r="C35" s="103">
        <v>20</v>
      </c>
      <c r="D35" s="104" t="s">
        <v>36</v>
      </c>
      <c r="E35" s="111" t="s">
        <v>87</v>
      </c>
      <c r="F35" s="112" t="s">
        <v>242</v>
      </c>
      <c r="G35" s="115" t="s">
        <v>244</v>
      </c>
      <c r="H35" s="79"/>
      <c r="I35" s="75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20</v>
      </c>
    </row>
    <row r="36" spans="1:34" s="34" customFormat="1" ht="22.5" hidden="1" x14ac:dyDescent="0.25">
      <c r="A36" s="62">
        <f t="shared" si="0"/>
        <v>34</v>
      </c>
      <c r="B36" s="84" t="s">
        <v>103</v>
      </c>
      <c r="C36" s="103">
        <v>5</v>
      </c>
      <c r="D36" s="104" t="s">
        <v>36</v>
      </c>
      <c r="E36" s="111" t="s">
        <v>87</v>
      </c>
      <c r="F36" s="112" t="s">
        <v>242</v>
      </c>
      <c r="G36" s="115" t="s">
        <v>244</v>
      </c>
      <c r="H36" s="79"/>
      <c r="I36" s="75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5</v>
      </c>
    </row>
    <row r="37" spans="1:34" s="34" customFormat="1" ht="22.5" hidden="1" x14ac:dyDescent="0.25">
      <c r="A37" s="62">
        <f>A35+1</f>
        <v>34</v>
      </c>
      <c r="B37" s="84" t="s">
        <v>104</v>
      </c>
      <c r="C37" s="103">
        <v>4</v>
      </c>
      <c r="D37" s="104" t="s">
        <v>36</v>
      </c>
      <c r="E37" s="111" t="s">
        <v>87</v>
      </c>
      <c r="F37" s="112" t="s">
        <v>242</v>
      </c>
      <c r="G37" s="115" t="s">
        <v>244</v>
      </c>
      <c r="H37" s="79"/>
      <c r="I37" s="75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4</v>
      </c>
    </row>
    <row r="38" spans="1:34" s="34" customFormat="1" ht="22.5" hidden="1" x14ac:dyDescent="0.25">
      <c r="A38" s="62">
        <f t="shared" si="0"/>
        <v>35</v>
      </c>
      <c r="B38" s="84" t="s">
        <v>105</v>
      </c>
      <c r="C38" s="103">
        <v>4</v>
      </c>
      <c r="D38" s="104" t="s">
        <v>36</v>
      </c>
      <c r="E38" s="111" t="s">
        <v>87</v>
      </c>
      <c r="F38" s="112" t="s">
        <v>242</v>
      </c>
      <c r="G38" s="115" t="s">
        <v>244</v>
      </c>
      <c r="H38" s="79"/>
      <c r="I38" s="75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4</v>
      </c>
    </row>
    <row r="39" spans="1:34" s="34" customFormat="1" ht="22.5" hidden="1" x14ac:dyDescent="0.25">
      <c r="A39" s="62">
        <v>1</v>
      </c>
      <c r="B39" s="84" t="s">
        <v>106</v>
      </c>
      <c r="C39" s="101">
        <v>15</v>
      </c>
      <c r="D39" s="102" t="s">
        <v>36</v>
      </c>
      <c r="E39" s="111" t="s">
        <v>87</v>
      </c>
      <c r="F39" s="112" t="s">
        <v>242</v>
      </c>
      <c r="G39" s="115" t="s">
        <v>244</v>
      </c>
      <c r="H39" s="79"/>
      <c r="I39" s="75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15</v>
      </c>
    </row>
    <row r="40" spans="1:34" s="34" customFormat="1" ht="22.5" hidden="1" x14ac:dyDescent="0.25">
      <c r="A40" s="61">
        <f>A39+1</f>
        <v>2</v>
      </c>
      <c r="B40" s="84" t="s">
        <v>107</v>
      </c>
      <c r="C40" s="103">
        <v>1</v>
      </c>
      <c r="D40" s="104" t="s">
        <v>36</v>
      </c>
      <c r="E40" s="111" t="s">
        <v>87</v>
      </c>
      <c r="F40" s="112" t="s">
        <v>242</v>
      </c>
      <c r="G40" s="115" t="s">
        <v>244</v>
      </c>
      <c r="H40" s="79"/>
      <c r="I40" s="75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</v>
      </c>
    </row>
    <row r="41" spans="1:34" s="34" customFormat="1" ht="22.5" hidden="1" x14ac:dyDescent="0.25">
      <c r="A41" s="61">
        <f t="shared" ref="A41:A64" si="1">A40+1</f>
        <v>3</v>
      </c>
      <c r="B41" s="84" t="s">
        <v>109</v>
      </c>
      <c r="C41" s="103">
        <v>1</v>
      </c>
      <c r="D41" s="104" t="s">
        <v>36</v>
      </c>
      <c r="E41" s="111" t="s">
        <v>87</v>
      </c>
      <c r="F41" s="112" t="s">
        <v>242</v>
      </c>
      <c r="G41" s="115" t="s">
        <v>244</v>
      </c>
      <c r="H41" s="79"/>
      <c r="I41" s="76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</v>
      </c>
    </row>
    <row r="42" spans="1:34" s="34" customFormat="1" ht="22.5" hidden="1" x14ac:dyDescent="0.25">
      <c r="A42" s="61">
        <f t="shared" si="1"/>
        <v>4</v>
      </c>
      <c r="B42" s="84" t="s">
        <v>200</v>
      </c>
      <c r="C42" s="103">
        <v>3</v>
      </c>
      <c r="D42" s="104" t="s">
        <v>36</v>
      </c>
      <c r="E42" s="111" t="s">
        <v>87</v>
      </c>
      <c r="F42" s="112" t="s">
        <v>242</v>
      </c>
      <c r="G42" s="115" t="s">
        <v>244</v>
      </c>
      <c r="H42" s="79"/>
      <c r="I42" s="76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3</v>
      </c>
    </row>
    <row r="43" spans="1:34" s="34" customFormat="1" ht="22.5" hidden="1" x14ac:dyDescent="0.25">
      <c r="A43" s="61">
        <f t="shared" si="1"/>
        <v>5</v>
      </c>
      <c r="B43" s="84" t="s">
        <v>201</v>
      </c>
      <c r="C43" s="103">
        <v>3</v>
      </c>
      <c r="D43" s="104" t="s">
        <v>36</v>
      </c>
      <c r="E43" s="111" t="s">
        <v>87</v>
      </c>
      <c r="F43" s="112" t="s">
        <v>242</v>
      </c>
      <c r="G43" s="115" t="s">
        <v>244</v>
      </c>
      <c r="H43" s="79"/>
      <c r="I43" s="76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3</v>
      </c>
    </row>
    <row r="44" spans="1:34" s="34" customFormat="1" ht="22.5" hidden="1" x14ac:dyDescent="0.25">
      <c r="A44" s="61">
        <f t="shared" si="1"/>
        <v>6</v>
      </c>
      <c r="B44" s="84" t="s">
        <v>112</v>
      </c>
      <c r="C44" s="103">
        <v>3</v>
      </c>
      <c r="D44" s="104" t="s">
        <v>100</v>
      </c>
      <c r="E44" s="111" t="s">
        <v>87</v>
      </c>
      <c r="F44" s="112" t="s">
        <v>242</v>
      </c>
      <c r="G44" s="115" t="s">
        <v>244</v>
      </c>
      <c r="H44" s="79"/>
      <c r="I44" s="76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3</v>
      </c>
    </row>
    <row r="45" spans="1:34" s="34" customFormat="1" ht="22.5" hidden="1" x14ac:dyDescent="0.25">
      <c r="A45" s="61">
        <f t="shared" si="1"/>
        <v>7</v>
      </c>
      <c r="B45" s="84" t="s">
        <v>113</v>
      </c>
      <c r="C45" s="103">
        <v>2</v>
      </c>
      <c r="D45" s="104" t="s">
        <v>100</v>
      </c>
      <c r="E45" s="111" t="s">
        <v>87</v>
      </c>
      <c r="F45" s="112" t="s">
        <v>242</v>
      </c>
      <c r="G45" s="115" t="s">
        <v>244</v>
      </c>
      <c r="H45" s="79"/>
      <c r="I45" s="76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2</v>
      </c>
    </row>
    <row r="46" spans="1:34" s="34" customFormat="1" ht="22.5" hidden="1" x14ac:dyDescent="0.25">
      <c r="A46" s="61">
        <f t="shared" si="1"/>
        <v>8</v>
      </c>
      <c r="B46" s="84" t="s">
        <v>114</v>
      </c>
      <c r="C46" s="103">
        <v>1</v>
      </c>
      <c r="D46" s="104" t="s">
        <v>100</v>
      </c>
      <c r="E46" s="111" t="s">
        <v>87</v>
      </c>
      <c r="F46" s="112" t="s">
        <v>242</v>
      </c>
      <c r="G46" s="115" t="s">
        <v>244</v>
      </c>
      <c r="H46" s="79"/>
      <c r="I46" s="76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</v>
      </c>
    </row>
    <row r="47" spans="1:34" s="34" customFormat="1" ht="22.5" hidden="1" x14ac:dyDescent="0.25">
      <c r="A47" s="61">
        <f t="shared" si="1"/>
        <v>9</v>
      </c>
      <c r="B47" s="84" t="s">
        <v>202</v>
      </c>
      <c r="C47" s="103">
        <v>10</v>
      </c>
      <c r="D47" s="104" t="s">
        <v>29</v>
      </c>
      <c r="E47" s="111" t="s">
        <v>87</v>
      </c>
      <c r="F47" s="112" t="s">
        <v>242</v>
      </c>
      <c r="G47" s="115" t="s">
        <v>244</v>
      </c>
      <c r="H47" s="79"/>
      <c r="I47" s="76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10</v>
      </c>
    </row>
    <row r="48" spans="1:34" s="34" customFormat="1" ht="22.5" hidden="1" x14ac:dyDescent="0.25">
      <c r="A48" s="61">
        <f t="shared" si="1"/>
        <v>10</v>
      </c>
      <c r="B48" s="84" t="s">
        <v>203</v>
      </c>
      <c r="C48" s="103">
        <v>5</v>
      </c>
      <c r="D48" s="104" t="s">
        <v>29</v>
      </c>
      <c r="E48" s="111" t="s">
        <v>87</v>
      </c>
      <c r="F48" s="112" t="s">
        <v>242</v>
      </c>
      <c r="G48" s="115" t="s">
        <v>244</v>
      </c>
      <c r="H48" s="79"/>
      <c r="I48" s="76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5</v>
      </c>
    </row>
    <row r="49" spans="1:34" s="34" customFormat="1" ht="22.5" x14ac:dyDescent="0.25">
      <c r="A49" s="61">
        <f t="shared" si="1"/>
        <v>11</v>
      </c>
      <c r="B49" s="86" t="s">
        <v>115</v>
      </c>
      <c r="C49" s="105">
        <v>6</v>
      </c>
      <c r="D49" s="106" t="s">
        <v>36</v>
      </c>
      <c r="E49" s="87" t="s">
        <v>116</v>
      </c>
      <c r="F49" s="112" t="s">
        <v>242</v>
      </c>
      <c r="G49" s="115" t="s">
        <v>244</v>
      </c>
      <c r="H49" s="79"/>
      <c r="I49" s="76"/>
      <c r="J49" s="68"/>
      <c r="K49" s="68"/>
      <c r="L49" s="68">
        <v>1</v>
      </c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5</v>
      </c>
    </row>
    <row r="50" spans="1:34" s="34" customFormat="1" ht="22.5" x14ac:dyDescent="0.25">
      <c r="A50" s="61">
        <f t="shared" si="1"/>
        <v>12</v>
      </c>
      <c r="B50" s="87" t="s">
        <v>117</v>
      </c>
      <c r="C50" s="107">
        <v>1</v>
      </c>
      <c r="D50" s="108" t="s">
        <v>36</v>
      </c>
      <c r="E50" s="87" t="s">
        <v>116</v>
      </c>
      <c r="F50" s="112" t="s">
        <v>242</v>
      </c>
      <c r="G50" s="115" t="s">
        <v>244</v>
      </c>
      <c r="H50" s="79"/>
      <c r="I50" s="76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</v>
      </c>
    </row>
    <row r="51" spans="1:34" s="34" customFormat="1" ht="22.5" x14ac:dyDescent="0.25">
      <c r="A51" s="61">
        <f t="shared" si="1"/>
        <v>13</v>
      </c>
      <c r="B51" s="87" t="s">
        <v>118</v>
      </c>
      <c r="C51" s="107">
        <v>10</v>
      </c>
      <c r="D51" s="108" t="s">
        <v>119</v>
      </c>
      <c r="E51" s="87" t="s">
        <v>116</v>
      </c>
      <c r="F51" s="112" t="s">
        <v>242</v>
      </c>
      <c r="G51" s="115" t="s">
        <v>244</v>
      </c>
      <c r="H51" s="79"/>
      <c r="I51" s="76"/>
      <c r="J51" s="68">
        <v>1</v>
      </c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9</v>
      </c>
    </row>
    <row r="52" spans="1:34" s="34" customFormat="1" ht="22.5" x14ac:dyDescent="0.25">
      <c r="A52" s="61">
        <f t="shared" si="1"/>
        <v>14</v>
      </c>
      <c r="B52" s="87" t="s">
        <v>120</v>
      </c>
      <c r="C52" s="107">
        <v>300</v>
      </c>
      <c r="D52" s="108" t="s">
        <v>121</v>
      </c>
      <c r="E52" s="86" t="s">
        <v>116</v>
      </c>
      <c r="F52" s="112" t="s">
        <v>242</v>
      </c>
      <c r="G52" s="115" t="s">
        <v>244</v>
      </c>
      <c r="H52" s="79"/>
      <c r="I52" s="76"/>
      <c r="J52" s="68">
        <v>25</v>
      </c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275</v>
      </c>
    </row>
    <row r="53" spans="1:34" s="34" customFormat="1" ht="22.5" x14ac:dyDescent="0.25">
      <c r="A53" s="61">
        <f t="shared" si="1"/>
        <v>15</v>
      </c>
      <c r="B53" s="87" t="s">
        <v>122</v>
      </c>
      <c r="C53" s="107">
        <v>15</v>
      </c>
      <c r="D53" s="108" t="s">
        <v>121</v>
      </c>
      <c r="E53" s="87" t="s">
        <v>116</v>
      </c>
      <c r="F53" s="112" t="s">
        <v>242</v>
      </c>
      <c r="G53" s="115" t="s">
        <v>244</v>
      </c>
      <c r="H53" s="79"/>
      <c r="I53" s="76"/>
      <c r="J53" s="68">
        <v>1</v>
      </c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14</v>
      </c>
    </row>
    <row r="54" spans="1:34" s="34" customFormat="1" ht="22.5" x14ac:dyDescent="0.25">
      <c r="A54" s="61">
        <f t="shared" si="1"/>
        <v>16</v>
      </c>
      <c r="B54" s="87" t="s">
        <v>123</v>
      </c>
      <c r="C54" s="107">
        <v>2</v>
      </c>
      <c r="D54" s="108" t="s">
        <v>121</v>
      </c>
      <c r="E54" s="87" t="s">
        <v>116</v>
      </c>
      <c r="F54" s="112" t="s">
        <v>242</v>
      </c>
      <c r="G54" s="115" t="s">
        <v>244</v>
      </c>
      <c r="H54" s="79"/>
      <c r="I54" s="76"/>
      <c r="J54" s="68">
        <v>1</v>
      </c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</v>
      </c>
    </row>
    <row r="55" spans="1:34" s="34" customFormat="1" ht="22.5" x14ac:dyDescent="0.25">
      <c r="A55" s="61">
        <f t="shared" si="1"/>
        <v>17</v>
      </c>
      <c r="B55" s="87" t="s">
        <v>204</v>
      </c>
      <c r="C55" s="107">
        <v>20</v>
      </c>
      <c r="D55" s="108" t="s">
        <v>121</v>
      </c>
      <c r="E55" s="87" t="s">
        <v>116</v>
      </c>
      <c r="F55" s="112" t="s">
        <v>242</v>
      </c>
      <c r="G55" s="115" t="s">
        <v>244</v>
      </c>
      <c r="H55" s="79"/>
      <c r="I55" s="76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20</v>
      </c>
    </row>
    <row r="56" spans="1:34" s="34" customFormat="1" ht="22.5" x14ac:dyDescent="0.25">
      <c r="A56" s="61">
        <f t="shared" si="1"/>
        <v>18</v>
      </c>
      <c r="B56" s="86" t="s">
        <v>205</v>
      </c>
      <c r="C56" s="107">
        <v>70</v>
      </c>
      <c r="D56" s="108" t="s">
        <v>36</v>
      </c>
      <c r="E56" s="87" t="s">
        <v>116</v>
      </c>
      <c r="F56" s="112" t="s">
        <v>242</v>
      </c>
      <c r="G56" s="115" t="s">
        <v>244</v>
      </c>
      <c r="H56" s="79"/>
      <c r="I56" s="76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70</v>
      </c>
    </row>
    <row r="57" spans="1:34" s="34" customFormat="1" ht="22.5" x14ac:dyDescent="0.25">
      <c r="A57" s="61">
        <f t="shared" si="1"/>
        <v>19</v>
      </c>
      <c r="B57" s="86" t="s">
        <v>125</v>
      </c>
      <c r="C57" s="107">
        <v>1</v>
      </c>
      <c r="D57" s="108" t="s">
        <v>36</v>
      </c>
      <c r="E57" s="87" t="s">
        <v>116</v>
      </c>
      <c r="F57" s="112" t="s">
        <v>242</v>
      </c>
      <c r="G57" s="115" t="s">
        <v>243</v>
      </c>
      <c r="H57" s="79"/>
      <c r="I57" s="76"/>
      <c r="J57" s="68"/>
      <c r="K57" s="68"/>
      <c r="L57" s="68"/>
      <c r="M57" s="68"/>
      <c r="N57" s="68">
        <v>10</v>
      </c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-9</v>
      </c>
    </row>
    <row r="58" spans="1:34" s="34" customFormat="1" ht="22.5" x14ac:dyDescent="0.25">
      <c r="A58" s="61">
        <f t="shared" si="1"/>
        <v>20</v>
      </c>
      <c r="B58" s="86" t="s">
        <v>126</v>
      </c>
      <c r="C58" s="107">
        <v>80</v>
      </c>
      <c r="D58" s="108" t="s">
        <v>36</v>
      </c>
      <c r="E58" s="87" t="s">
        <v>116</v>
      </c>
      <c r="F58" s="112" t="s">
        <v>242</v>
      </c>
      <c r="G58" s="115" t="s">
        <v>244</v>
      </c>
      <c r="H58" s="79"/>
      <c r="I58" s="76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80</v>
      </c>
    </row>
    <row r="59" spans="1:34" s="34" customFormat="1" ht="22.5" x14ac:dyDescent="0.25">
      <c r="A59" s="61">
        <f t="shared" si="1"/>
        <v>21</v>
      </c>
      <c r="B59" s="87" t="s">
        <v>206</v>
      </c>
      <c r="C59" s="107">
        <v>50</v>
      </c>
      <c r="D59" s="108" t="s">
        <v>36</v>
      </c>
      <c r="E59" s="87" t="s">
        <v>116</v>
      </c>
      <c r="F59" s="112" t="s">
        <v>242</v>
      </c>
      <c r="G59" s="115" t="s">
        <v>244</v>
      </c>
      <c r="H59" s="79"/>
      <c r="I59" s="76"/>
      <c r="J59" s="68">
        <v>25</v>
      </c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25</v>
      </c>
    </row>
    <row r="60" spans="1:34" s="34" customFormat="1" ht="22.5" x14ac:dyDescent="0.25">
      <c r="A60" s="61">
        <f t="shared" si="1"/>
        <v>22</v>
      </c>
      <c r="B60" s="87" t="s">
        <v>127</v>
      </c>
      <c r="C60" s="107">
        <v>200</v>
      </c>
      <c r="D60" s="108" t="s">
        <v>121</v>
      </c>
      <c r="E60" s="87" t="s">
        <v>116</v>
      </c>
      <c r="F60" s="112" t="s">
        <v>242</v>
      </c>
      <c r="G60" s="115" t="s">
        <v>244</v>
      </c>
      <c r="H60" s="79"/>
      <c r="I60" s="76"/>
      <c r="J60" s="68">
        <v>20</v>
      </c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180</v>
      </c>
    </row>
    <row r="61" spans="1:34" s="34" customFormat="1" ht="22.5" x14ac:dyDescent="0.25">
      <c r="A61" s="61">
        <f t="shared" si="1"/>
        <v>23</v>
      </c>
      <c r="B61" s="87" t="s">
        <v>128</v>
      </c>
      <c r="C61" s="107">
        <v>14</v>
      </c>
      <c r="D61" s="108" t="s">
        <v>36</v>
      </c>
      <c r="E61" s="87" t="s">
        <v>116</v>
      </c>
      <c r="F61" s="112" t="s">
        <v>242</v>
      </c>
      <c r="G61" s="115" t="s">
        <v>243</v>
      </c>
      <c r="H61" s="79"/>
      <c r="I61" s="76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14</v>
      </c>
    </row>
    <row r="62" spans="1:34" s="34" customFormat="1" ht="22.5" x14ac:dyDescent="0.25">
      <c r="A62" s="61">
        <f t="shared" si="1"/>
        <v>24</v>
      </c>
      <c r="B62" s="87" t="s">
        <v>129</v>
      </c>
      <c r="C62" s="107">
        <v>7</v>
      </c>
      <c r="D62" s="108" t="s">
        <v>29</v>
      </c>
      <c r="E62" s="87" t="s">
        <v>116</v>
      </c>
      <c r="F62" s="112" t="s">
        <v>242</v>
      </c>
      <c r="G62" s="115" t="s">
        <v>244</v>
      </c>
      <c r="H62" s="79"/>
      <c r="I62" s="76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7</v>
      </c>
    </row>
    <row r="63" spans="1:34" s="34" customFormat="1" ht="22.5" x14ac:dyDescent="0.25">
      <c r="A63" s="61">
        <f t="shared" si="1"/>
        <v>25</v>
      </c>
      <c r="B63" s="87" t="s">
        <v>130</v>
      </c>
      <c r="C63" s="107">
        <v>40</v>
      </c>
      <c r="D63" s="108" t="s">
        <v>36</v>
      </c>
      <c r="E63" s="87" t="s">
        <v>116</v>
      </c>
      <c r="F63" s="112" t="s">
        <v>242</v>
      </c>
      <c r="G63" s="115" t="s">
        <v>244</v>
      </c>
      <c r="H63" s="79"/>
      <c r="I63" s="76"/>
      <c r="J63" s="68">
        <v>10</v>
      </c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30</v>
      </c>
    </row>
    <row r="64" spans="1:34" s="34" customFormat="1" ht="22.5" x14ac:dyDescent="0.25">
      <c r="A64" s="61">
        <f t="shared" si="1"/>
        <v>26</v>
      </c>
      <c r="B64" s="87" t="s">
        <v>131</v>
      </c>
      <c r="C64" s="107">
        <v>15</v>
      </c>
      <c r="D64" s="108" t="s">
        <v>36</v>
      </c>
      <c r="E64" s="87" t="s">
        <v>116</v>
      </c>
      <c r="F64" s="112" t="s">
        <v>242</v>
      </c>
      <c r="G64" s="115" t="s">
        <v>243</v>
      </c>
      <c r="H64" s="79"/>
      <c r="I64" s="76"/>
      <c r="J64" s="68"/>
      <c r="K64" s="68"/>
      <c r="L64" s="68"/>
      <c r="M64" s="68">
        <v>7</v>
      </c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8</v>
      </c>
    </row>
    <row r="65" spans="1:34" s="34" customFormat="1" ht="22.5" x14ac:dyDescent="0.25">
      <c r="A65" s="61">
        <v>1</v>
      </c>
      <c r="B65" s="88" t="s">
        <v>132</v>
      </c>
      <c r="C65" s="107">
        <v>30</v>
      </c>
      <c r="D65" s="108" t="s">
        <v>36</v>
      </c>
      <c r="E65" s="87" t="s">
        <v>116</v>
      </c>
      <c r="F65" s="112" t="s">
        <v>242</v>
      </c>
      <c r="G65" s="115" t="s">
        <v>244</v>
      </c>
      <c r="H65" s="79"/>
      <c r="I65" s="75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30</v>
      </c>
    </row>
    <row r="66" spans="1:34" s="34" customFormat="1" ht="22.5" x14ac:dyDescent="0.25">
      <c r="A66" s="61">
        <f t="shared" ref="A66:A83" si="2">A65+1</f>
        <v>2</v>
      </c>
      <c r="B66" s="87" t="s">
        <v>133</v>
      </c>
      <c r="C66" s="107">
        <v>7</v>
      </c>
      <c r="D66" s="108" t="s">
        <v>36</v>
      </c>
      <c r="E66" s="87" t="s">
        <v>116</v>
      </c>
      <c r="F66" s="112" t="s">
        <v>242</v>
      </c>
      <c r="G66" s="115" t="s">
        <v>243</v>
      </c>
      <c r="H66" s="79"/>
      <c r="I66" s="75"/>
      <c r="J66" s="68">
        <v>7</v>
      </c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0</v>
      </c>
    </row>
    <row r="67" spans="1:34" s="34" customFormat="1" ht="22.5" x14ac:dyDescent="0.25">
      <c r="A67" s="61">
        <f t="shared" si="2"/>
        <v>3</v>
      </c>
      <c r="B67" s="87" t="s">
        <v>134</v>
      </c>
      <c r="C67" s="107">
        <v>1</v>
      </c>
      <c r="D67" s="108" t="s">
        <v>36</v>
      </c>
      <c r="E67" s="87" t="s">
        <v>116</v>
      </c>
      <c r="F67" s="112" t="s">
        <v>242</v>
      </c>
      <c r="G67" s="115" t="s">
        <v>243</v>
      </c>
      <c r="H67" s="79"/>
      <c r="I67" s="75"/>
      <c r="J67" s="68">
        <v>1</v>
      </c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0</v>
      </c>
    </row>
    <row r="68" spans="1:34" s="34" customFormat="1" ht="47.25" customHeight="1" x14ac:dyDescent="0.25">
      <c r="A68" s="61">
        <f t="shared" si="2"/>
        <v>4</v>
      </c>
      <c r="B68" s="87" t="s">
        <v>135</v>
      </c>
      <c r="C68" s="107">
        <v>3</v>
      </c>
      <c r="D68" s="108" t="s">
        <v>36</v>
      </c>
      <c r="E68" s="87" t="s">
        <v>116</v>
      </c>
      <c r="F68" s="112" t="s">
        <v>242</v>
      </c>
      <c r="G68" s="115" t="s">
        <v>243</v>
      </c>
      <c r="H68" s="79"/>
      <c r="I68" s="75"/>
      <c r="J68" s="68">
        <v>3</v>
      </c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0</v>
      </c>
    </row>
    <row r="69" spans="1:34" s="34" customFormat="1" ht="33.75" hidden="1" x14ac:dyDescent="0.25">
      <c r="A69" s="61">
        <f t="shared" si="2"/>
        <v>5</v>
      </c>
      <c r="B69" s="82" t="s">
        <v>41</v>
      </c>
      <c r="C69" s="97">
        <v>250</v>
      </c>
      <c r="D69" s="98" t="s">
        <v>36</v>
      </c>
      <c r="E69" s="82" t="s">
        <v>42</v>
      </c>
      <c r="F69" s="112" t="s">
        <v>242</v>
      </c>
      <c r="G69" s="115" t="s">
        <v>243</v>
      </c>
      <c r="H69" s="79"/>
      <c r="I69" s="75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250</v>
      </c>
    </row>
    <row r="70" spans="1:34" s="34" customFormat="1" ht="33.75" hidden="1" x14ac:dyDescent="0.25">
      <c r="A70" s="61">
        <f t="shared" si="2"/>
        <v>6</v>
      </c>
      <c r="B70" s="82" t="s">
        <v>45</v>
      </c>
      <c r="C70" s="97">
        <v>1</v>
      </c>
      <c r="D70" s="98" t="s">
        <v>46</v>
      </c>
      <c r="E70" s="83" t="s">
        <v>42</v>
      </c>
      <c r="F70" s="112" t="s">
        <v>242</v>
      </c>
      <c r="G70" s="115" t="s">
        <v>243</v>
      </c>
      <c r="H70" s="79"/>
      <c r="I70" s="75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</v>
      </c>
    </row>
    <row r="71" spans="1:34" s="34" customFormat="1" ht="33.75" hidden="1" x14ac:dyDescent="0.25">
      <c r="A71" s="61">
        <f t="shared" si="2"/>
        <v>7</v>
      </c>
      <c r="B71" s="82" t="s">
        <v>207</v>
      </c>
      <c r="C71" s="97">
        <v>1</v>
      </c>
      <c r="D71" s="98" t="s">
        <v>46</v>
      </c>
      <c r="E71" s="83" t="s">
        <v>42</v>
      </c>
      <c r="F71" s="112" t="s">
        <v>242</v>
      </c>
      <c r="G71" s="115" t="s">
        <v>243</v>
      </c>
      <c r="H71" s="79"/>
      <c r="I71" s="75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</v>
      </c>
    </row>
    <row r="72" spans="1:34" s="34" customFormat="1" ht="33.75" hidden="1" x14ac:dyDescent="0.25">
      <c r="A72" s="61">
        <f t="shared" si="2"/>
        <v>8</v>
      </c>
      <c r="B72" s="82" t="s">
        <v>208</v>
      </c>
      <c r="C72" s="97">
        <v>1</v>
      </c>
      <c r="D72" s="98" t="s">
        <v>46</v>
      </c>
      <c r="E72" s="83" t="s">
        <v>42</v>
      </c>
      <c r="F72" s="112" t="s">
        <v>242</v>
      </c>
      <c r="G72" s="115" t="s">
        <v>243</v>
      </c>
      <c r="H72" s="79"/>
      <c r="I72" s="75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</v>
      </c>
    </row>
    <row r="73" spans="1:34" s="34" customFormat="1" ht="33.75" hidden="1" x14ac:dyDescent="0.25">
      <c r="A73" s="61">
        <f t="shared" si="2"/>
        <v>9</v>
      </c>
      <c r="B73" s="82" t="s">
        <v>48</v>
      </c>
      <c r="C73" s="97">
        <v>2</v>
      </c>
      <c r="D73" s="98" t="s">
        <v>29</v>
      </c>
      <c r="E73" s="82" t="s">
        <v>42</v>
      </c>
      <c r="F73" s="112" t="s">
        <v>242</v>
      </c>
      <c r="G73" s="115" t="s">
        <v>244</v>
      </c>
      <c r="H73" s="79"/>
      <c r="I73" s="75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2</v>
      </c>
    </row>
    <row r="74" spans="1:34" s="34" customFormat="1" ht="33.75" hidden="1" x14ac:dyDescent="0.25">
      <c r="A74" s="61">
        <f t="shared" si="2"/>
        <v>10</v>
      </c>
      <c r="B74" s="82" t="s">
        <v>49</v>
      </c>
      <c r="C74" s="97">
        <v>2</v>
      </c>
      <c r="D74" s="98" t="s">
        <v>29</v>
      </c>
      <c r="E74" s="82" t="s">
        <v>42</v>
      </c>
      <c r="F74" s="112" t="s">
        <v>242</v>
      </c>
      <c r="G74" s="115" t="s">
        <v>244</v>
      </c>
      <c r="H74" s="79"/>
      <c r="I74" s="75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2</v>
      </c>
    </row>
    <row r="75" spans="1:34" s="34" customFormat="1" ht="36" hidden="1" customHeight="1" x14ac:dyDescent="0.25">
      <c r="A75" s="61">
        <f t="shared" si="2"/>
        <v>11</v>
      </c>
      <c r="B75" s="82" t="s">
        <v>50</v>
      </c>
      <c r="C75" s="97">
        <v>2</v>
      </c>
      <c r="D75" s="98" t="s">
        <v>29</v>
      </c>
      <c r="E75" s="82" t="s">
        <v>42</v>
      </c>
      <c r="F75" s="112" t="s">
        <v>242</v>
      </c>
      <c r="G75" s="115" t="s">
        <v>244</v>
      </c>
      <c r="H75" s="79"/>
      <c r="I75" s="75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2</v>
      </c>
    </row>
    <row r="76" spans="1:34" s="34" customFormat="1" ht="33.75" hidden="1" x14ac:dyDescent="0.25">
      <c r="A76" s="61">
        <f t="shared" si="2"/>
        <v>12</v>
      </c>
      <c r="B76" s="82" t="s">
        <v>51</v>
      </c>
      <c r="C76" s="97">
        <v>5</v>
      </c>
      <c r="D76" s="98" t="s">
        <v>36</v>
      </c>
      <c r="E76" s="82" t="s">
        <v>42</v>
      </c>
      <c r="F76" s="112" t="s">
        <v>242</v>
      </c>
      <c r="G76" s="115" t="s">
        <v>243</v>
      </c>
      <c r="H76" s="79"/>
      <c r="I76" s="75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5</v>
      </c>
    </row>
    <row r="77" spans="1:34" s="34" customFormat="1" ht="33.75" hidden="1" x14ac:dyDescent="0.25">
      <c r="A77" s="61">
        <f t="shared" si="2"/>
        <v>13</v>
      </c>
      <c r="B77" s="82" t="s">
        <v>52</v>
      </c>
      <c r="C77" s="97">
        <v>5</v>
      </c>
      <c r="D77" s="98" t="s">
        <v>36</v>
      </c>
      <c r="E77" s="82" t="s">
        <v>42</v>
      </c>
      <c r="F77" s="112" t="s">
        <v>242</v>
      </c>
      <c r="G77" s="115" t="s">
        <v>243</v>
      </c>
      <c r="H77" s="79"/>
      <c r="I77" s="75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5</v>
      </c>
    </row>
    <row r="78" spans="1:34" s="34" customFormat="1" ht="33.75" hidden="1" x14ac:dyDescent="0.25">
      <c r="A78" s="61">
        <f t="shared" si="2"/>
        <v>14</v>
      </c>
      <c r="B78" s="82" t="s">
        <v>209</v>
      </c>
      <c r="C78" s="97">
        <v>60</v>
      </c>
      <c r="D78" s="98" t="s">
        <v>36</v>
      </c>
      <c r="E78" s="82" t="s">
        <v>42</v>
      </c>
      <c r="F78" s="112" t="s">
        <v>242</v>
      </c>
      <c r="G78" s="115" t="s">
        <v>243</v>
      </c>
      <c r="H78" s="79"/>
      <c r="I78" s="75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60</v>
      </c>
    </row>
    <row r="79" spans="1:34" s="34" customFormat="1" ht="33.75" hidden="1" x14ac:dyDescent="0.25">
      <c r="A79" s="61">
        <f t="shared" si="2"/>
        <v>15</v>
      </c>
      <c r="B79" s="82" t="s">
        <v>53</v>
      </c>
      <c r="C79" s="97">
        <v>50</v>
      </c>
      <c r="D79" s="98" t="s">
        <v>36</v>
      </c>
      <c r="E79" s="82" t="s">
        <v>42</v>
      </c>
      <c r="F79" s="112" t="s">
        <v>242</v>
      </c>
      <c r="G79" s="115" t="s">
        <v>243</v>
      </c>
      <c r="H79" s="79"/>
      <c r="I79" s="75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50</v>
      </c>
    </row>
    <row r="80" spans="1:34" s="34" customFormat="1" ht="33.75" hidden="1" x14ac:dyDescent="0.25">
      <c r="A80" s="61">
        <f t="shared" si="2"/>
        <v>16</v>
      </c>
      <c r="B80" s="82" t="s">
        <v>54</v>
      </c>
      <c r="C80" s="97">
        <v>15</v>
      </c>
      <c r="D80" s="98" t="s">
        <v>36</v>
      </c>
      <c r="E80" s="82" t="s">
        <v>42</v>
      </c>
      <c r="F80" s="112" t="s">
        <v>242</v>
      </c>
      <c r="G80" s="115" t="s">
        <v>243</v>
      </c>
      <c r="H80" s="79"/>
      <c r="I80" s="75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15</v>
      </c>
    </row>
    <row r="81" spans="1:34" s="34" customFormat="1" ht="33.75" hidden="1" x14ac:dyDescent="0.25">
      <c r="A81" s="61">
        <f t="shared" si="2"/>
        <v>17</v>
      </c>
      <c r="B81" s="82" t="s">
        <v>55</v>
      </c>
      <c r="C81" s="97">
        <v>10</v>
      </c>
      <c r="D81" s="98" t="s">
        <v>36</v>
      </c>
      <c r="E81" s="82" t="s">
        <v>42</v>
      </c>
      <c r="F81" s="112" t="s">
        <v>242</v>
      </c>
      <c r="G81" s="115" t="s">
        <v>243</v>
      </c>
      <c r="H81" s="79"/>
      <c r="I81" s="75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10</v>
      </c>
    </row>
    <row r="82" spans="1:34" s="34" customFormat="1" ht="33.75" hidden="1" x14ac:dyDescent="0.25">
      <c r="A82" s="61">
        <f t="shared" si="2"/>
        <v>18</v>
      </c>
      <c r="B82" s="82" t="s">
        <v>56</v>
      </c>
      <c r="C82" s="97">
        <v>300</v>
      </c>
      <c r="D82" s="98" t="s">
        <v>36</v>
      </c>
      <c r="E82" s="82" t="s">
        <v>42</v>
      </c>
      <c r="F82" s="112" t="s">
        <v>242</v>
      </c>
      <c r="G82" s="115" t="s">
        <v>243</v>
      </c>
      <c r="H82" s="79"/>
      <c r="I82" s="75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300</v>
      </c>
    </row>
    <row r="83" spans="1:34" s="34" customFormat="1" ht="33.75" hidden="1" x14ac:dyDescent="0.25">
      <c r="A83" s="61">
        <f t="shared" si="2"/>
        <v>19</v>
      </c>
      <c r="B83" s="82" t="s">
        <v>58</v>
      </c>
      <c r="C83" s="97">
        <v>5</v>
      </c>
      <c r="D83" s="98" t="s">
        <v>59</v>
      </c>
      <c r="E83" s="82" t="s">
        <v>42</v>
      </c>
      <c r="F83" s="112" t="s">
        <v>242</v>
      </c>
      <c r="G83" s="115" t="s">
        <v>243</v>
      </c>
      <c r="H83" s="79"/>
      <c r="I83" s="75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5</v>
      </c>
    </row>
    <row r="84" spans="1:34" s="34" customFormat="1" ht="33.75" hidden="1" customHeight="1" x14ac:dyDescent="0.25">
      <c r="A84" s="62">
        <f>1</f>
        <v>1</v>
      </c>
      <c r="B84" s="82" t="s">
        <v>60</v>
      </c>
      <c r="C84" s="97">
        <v>6</v>
      </c>
      <c r="D84" s="98" t="s">
        <v>36</v>
      </c>
      <c r="E84" s="82" t="s">
        <v>42</v>
      </c>
      <c r="F84" s="112" t="s">
        <v>242</v>
      </c>
      <c r="G84" s="115" t="s">
        <v>243</v>
      </c>
      <c r="H84" s="80" t="s">
        <v>139</v>
      </c>
      <c r="I84" s="76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6</v>
      </c>
    </row>
    <row r="85" spans="1:34" s="34" customFormat="1" ht="22.5" hidden="1" customHeight="1" x14ac:dyDescent="0.25">
      <c r="A85" s="62">
        <f t="shared" ref="A85:A92" si="3">A84+1</f>
        <v>2</v>
      </c>
      <c r="B85" s="82" t="s">
        <v>61</v>
      </c>
      <c r="C85" s="97">
        <v>6</v>
      </c>
      <c r="D85" s="98" t="s">
        <v>36</v>
      </c>
      <c r="E85" s="82" t="s">
        <v>42</v>
      </c>
      <c r="F85" s="112" t="s">
        <v>242</v>
      </c>
      <c r="G85" s="115" t="s">
        <v>243</v>
      </c>
      <c r="H85" s="80" t="s">
        <v>139</v>
      </c>
      <c r="I85" s="76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6</v>
      </c>
    </row>
    <row r="86" spans="1:34" s="34" customFormat="1" ht="33.75" hidden="1" x14ac:dyDescent="0.25">
      <c r="A86" s="62">
        <f t="shared" si="3"/>
        <v>3</v>
      </c>
      <c r="B86" s="82" t="s">
        <v>62</v>
      </c>
      <c r="C86" s="97">
        <v>2</v>
      </c>
      <c r="D86" s="98" t="s">
        <v>36</v>
      </c>
      <c r="E86" s="82" t="s">
        <v>42</v>
      </c>
      <c r="F86" s="112" t="s">
        <v>242</v>
      </c>
      <c r="G86" s="115" t="s">
        <v>243</v>
      </c>
      <c r="H86" s="80" t="s">
        <v>143</v>
      </c>
      <c r="I86" s="76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2</v>
      </c>
    </row>
    <row r="87" spans="1:34" s="34" customFormat="1" ht="33.75" hidden="1" x14ac:dyDescent="0.25">
      <c r="A87" s="62">
        <f t="shared" si="3"/>
        <v>4</v>
      </c>
      <c r="B87" s="82" t="s">
        <v>63</v>
      </c>
      <c r="C87" s="97">
        <v>24</v>
      </c>
      <c r="D87" s="98" t="s">
        <v>36</v>
      </c>
      <c r="E87" s="82" t="s">
        <v>42</v>
      </c>
      <c r="F87" s="112" t="s">
        <v>242</v>
      </c>
      <c r="G87" s="115" t="s">
        <v>243</v>
      </c>
      <c r="H87" s="80" t="s">
        <v>145</v>
      </c>
      <c r="I87" s="76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24</v>
      </c>
    </row>
    <row r="88" spans="1:34" s="34" customFormat="1" ht="22.5" hidden="1" customHeight="1" x14ac:dyDescent="0.25">
      <c r="A88" s="62">
        <f t="shared" si="3"/>
        <v>5</v>
      </c>
      <c r="B88" s="82" t="s">
        <v>64</v>
      </c>
      <c r="C88" s="97">
        <v>30</v>
      </c>
      <c r="D88" s="98" t="s">
        <v>36</v>
      </c>
      <c r="E88" s="82" t="s">
        <v>42</v>
      </c>
      <c r="F88" s="112" t="s">
        <v>242</v>
      </c>
      <c r="G88" s="115" t="s">
        <v>244</v>
      </c>
      <c r="H88" s="80" t="s">
        <v>147</v>
      </c>
      <c r="I88" s="76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30</v>
      </c>
    </row>
    <row r="89" spans="1:34" s="34" customFormat="1" ht="22.5" hidden="1" customHeight="1" x14ac:dyDescent="0.25">
      <c r="A89" s="62">
        <f t="shared" si="3"/>
        <v>6</v>
      </c>
      <c r="B89" s="82" t="s">
        <v>66</v>
      </c>
      <c r="C89" s="97">
        <v>70</v>
      </c>
      <c r="D89" s="98" t="s">
        <v>36</v>
      </c>
      <c r="E89" s="82" t="s">
        <v>42</v>
      </c>
      <c r="F89" s="112" t="s">
        <v>242</v>
      </c>
      <c r="G89" s="115" t="s">
        <v>244</v>
      </c>
      <c r="H89" s="80" t="s">
        <v>147</v>
      </c>
      <c r="I89" s="76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70</v>
      </c>
    </row>
    <row r="90" spans="1:34" s="34" customFormat="1" ht="22.5" hidden="1" customHeight="1" x14ac:dyDescent="0.25">
      <c r="A90" s="62">
        <f t="shared" si="3"/>
        <v>7</v>
      </c>
      <c r="B90" s="82" t="s">
        <v>67</v>
      </c>
      <c r="C90" s="97">
        <v>70</v>
      </c>
      <c r="D90" s="98" t="s">
        <v>36</v>
      </c>
      <c r="E90" s="82" t="s">
        <v>42</v>
      </c>
      <c r="F90" s="112" t="s">
        <v>242</v>
      </c>
      <c r="G90" s="115" t="s">
        <v>244</v>
      </c>
      <c r="H90" s="80" t="s">
        <v>147</v>
      </c>
      <c r="I90" s="76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70</v>
      </c>
    </row>
    <row r="91" spans="1:34" s="34" customFormat="1" ht="22.5" hidden="1" customHeight="1" x14ac:dyDescent="0.25">
      <c r="A91" s="62">
        <f t="shared" si="3"/>
        <v>8</v>
      </c>
      <c r="B91" s="83" t="s">
        <v>68</v>
      </c>
      <c r="C91" s="99">
        <v>100</v>
      </c>
      <c r="D91" s="100" t="s">
        <v>36</v>
      </c>
      <c r="E91" s="82" t="s">
        <v>42</v>
      </c>
      <c r="F91" s="112" t="s">
        <v>242</v>
      </c>
      <c r="G91" s="115" t="s">
        <v>244</v>
      </c>
      <c r="H91" s="80" t="s">
        <v>147</v>
      </c>
      <c r="I91" s="76"/>
      <c r="J91" s="68"/>
      <c r="K91" s="68"/>
      <c r="L91" s="68">
        <v>10</v>
      </c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90</v>
      </c>
    </row>
    <row r="92" spans="1:34" s="34" customFormat="1" ht="33.75" hidden="1" x14ac:dyDescent="0.25">
      <c r="A92" s="62">
        <f t="shared" si="3"/>
        <v>9</v>
      </c>
      <c r="B92" s="82" t="s">
        <v>69</v>
      </c>
      <c r="C92" s="97">
        <v>10</v>
      </c>
      <c r="D92" s="98" t="s">
        <v>36</v>
      </c>
      <c r="E92" s="82" t="s">
        <v>42</v>
      </c>
      <c r="F92" s="112" t="s">
        <v>242</v>
      </c>
      <c r="G92" s="115" t="s">
        <v>243</v>
      </c>
      <c r="H92" s="80" t="s">
        <v>147</v>
      </c>
      <c r="I92" s="76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10</v>
      </c>
    </row>
    <row r="93" spans="1:34" s="34" customFormat="1" ht="33.75" hidden="1" x14ac:dyDescent="0.25">
      <c r="A93" s="62">
        <f>1</f>
        <v>1</v>
      </c>
      <c r="B93" s="82" t="s">
        <v>70</v>
      </c>
      <c r="C93" s="97">
        <v>4</v>
      </c>
      <c r="D93" s="98" t="s">
        <v>36</v>
      </c>
      <c r="E93" s="82" t="s">
        <v>42</v>
      </c>
      <c r="F93" s="112" t="s">
        <v>242</v>
      </c>
      <c r="G93" s="115" t="s">
        <v>244</v>
      </c>
      <c r="H93" s="79"/>
      <c r="I93" s="75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4</v>
      </c>
    </row>
    <row r="94" spans="1:34" s="34" customFormat="1" ht="33.75" hidden="1" x14ac:dyDescent="0.25">
      <c r="A94" s="62">
        <f t="shared" ref="A94:A104" si="4">A93+1</f>
        <v>2</v>
      </c>
      <c r="B94" s="82" t="s">
        <v>71</v>
      </c>
      <c r="C94" s="97">
        <v>4</v>
      </c>
      <c r="D94" s="98" t="s">
        <v>36</v>
      </c>
      <c r="E94" s="82" t="s">
        <v>42</v>
      </c>
      <c r="F94" s="112" t="s">
        <v>242</v>
      </c>
      <c r="G94" s="115" t="s">
        <v>244</v>
      </c>
      <c r="H94" s="79"/>
      <c r="I94" s="75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4</v>
      </c>
    </row>
    <row r="95" spans="1:34" s="34" customFormat="1" ht="33.75" hidden="1" x14ac:dyDescent="0.25">
      <c r="A95" s="62">
        <f t="shared" si="4"/>
        <v>3</v>
      </c>
      <c r="B95" s="82" t="s">
        <v>72</v>
      </c>
      <c r="C95" s="97">
        <v>3</v>
      </c>
      <c r="D95" s="98" t="s">
        <v>46</v>
      </c>
      <c r="E95" s="82" t="s">
        <v>42</v>
      </c>
      <c r="F95" s="112" t="s">
        <v>242</v>
      </c>
      <c r="G95" s="115" t="s">
        <v>243</v>
      </c>
      <c r="H95" s="79"/>
      <c r="I95" s="75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3</v>
      </c>
    </row>
    <row r="96" spans="1:34" s="34" customFormat="1" ht="33.75" hidden="1" x14ac:dyDescent="0.25">
      <c r="A96" s="62">
        <f t="shared" si="4"/>
        <v>4</v>
      </c>
      <c r="B96" s="82" t="s">
        <v>73</v>
      </c>
      <c r="C96" s="97">
        <v>100</v>
      </c>
      <c r="D96" s="98" t="s">
        <v>74</v>
      </c>
      <c r="E96" s="82" t="s">
        <v>42</v>
      </c>
      <c r="F96" s="112" t="s">
        <v>242</v>
      </c>
      <c r="G96" s="115" t="s">
        <v>243</v>
      </c>
      <c r="H96" s="79"/>
      <c r="I96" s="75"/>
      <c r="J96" s="68"/>
      <c r="K96" s="68"/>
      <c r="L96" s="68">
        <v>10</v>
      </c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90</v>
      </c>
    </row>
    <row r="97" spans="1:34" s="34" customFormat="1" ht="33.75" hidden="1" x14ac:dyDescent="0.25">
      <c r="A97" s="62">
        <f t="shared" si="4"/>
        <v>5</v>
      </c>
      <c r="B97" s="82" t="s">
        <v>75</v>
      </c>
      <c r="C97" s="97">
        <v>1</v>
      </c>
      <c r="D97" s="98" t="s">
        <v>36</v>
      </c>
      <c r="E97" s="82" t="s">
        <v>42</v>
      </c>
      <c r="F97" s="112" t="s">
        <v>242</v>
      </c>
      <c r="G97" s="115" t="s">
        <v>243</v>
      </c>
      <c r="H97" s="79"/>
      <c r="I97" s="75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</v>
      </c>
    </row>
    <row r="98" spans="1:34" s="34" customFormat="1" ht="33.75" hidden="1" x14ac:dyDescent="0.25">
      <c r="A98" s="62">
        <f t="shared" si="4"/>
        <v>6</v>
      </c>
      <c r="B98" s="82" t="s">
        <v>210</v>
      </c>
      <c r="C98" s="97">
        <v>18</v>
      </c>
      <c r="D98" s="98" t="s">
        <v>36</v>
      </c>
      <c r="E98" s="82" t="s">
        <v>42</v>
      </c>
      <c r="F98" s="112" t="s">
        <v>242</v>
      </c>
      <c r="G98" s="115" t="s">
        <v>244</v>
      </c>
      <c r="H98" s="79"/>
      <c r="I98" s="75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18</v>
      </c>
    </row>
    <row r="99" spans="1:34" s="34" customFormat="1" ht="33.75" hidden="1" x14ac:dyDescent="0.25">
      <c r="A99" s="62">
        <f t="shared" si="4"/>
        <v>7</v>
      </c>
      <c r="B99" s="82" t="s">
        <v>77</v>
      </c>
      <c r="C99" s="97">
        <v>250</v>
      </c>
      <c r="D99" s="98" t="s">
        <v>36</v>
      </c>
      <c r="E99" s="82" t="s">
        <v>42</v>
      </c>
      <c r="F99" s="112" t="s">
        <v>242</v>
      </c>
      <c r="G99" s="115" t="s">
        <v>243</v>
      </c>
      <c r="H99" s="79"/>
      <c r="I99" s="75"/>
      <c r="J99" s="68"/>
      <c r="K99" s="68"/>
      <c r="L99" s="68">
        <v>24</v>
      </c>
      <c r="M99" s="68"/>
      <c r="N99" s="68">
        <v>24</v>
      </c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202</v>
      </c>
    </row>
    <row r="100" spans="1:34" s="34" customFormat="1" ht="33.75" hidden="1" x14ac:dyDescent="0.25">
      <c r="A100" s="62">
        <f t="shared" si="4"/>
        <v>8</v>
      </c>
      <c r="B100" s="82" t="s">
        <v>78</v>
      </c>
      <c r="C100" s="97">
        <v>4</v>
      </c>
      <c r="D100" s="98" t="s">
        <v>46</v>
      </c>
      <c r="E100" s="82" t="s">
        <v>42</v>
      </c>
      <c r="F100" s="112" t="s">
        <v>242</v>
      </c>
      <c r="G100" s="115" t="s">
        <v>244</v>
      </c>
      <c r="H100" s="79"/>
      <c r="I100" s="75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4</v>
      </c>
    </row>
    <row r="101" spans="1:34" s="34" customFormat="1" ht="33.75" hidden="1" x14ac:dyDescent="0.25">
      <c r="A101" s="62">
        <f t="shared" si="4"/>
        <v>9</v>
      </c>
      <c r="B101" s="82" t="s">
        <v>79</v>
      </c>
      <c r="C101" s="97">
        <v>2</v>
      </c>
      <c r="D101" s="98" t="s">
        <v>36</v>
      </c>
      <c r="E101" s="82" t="s">
        <v>42</v>
      </c>
      <c r="F101" s="112" t="s">
        <v>242</v>
      </c>
      <c r="G101" s="115" t="s">
        <v>244</v>
      </c>
      <c r="H101" s="79"/>
      <c r="I101" s="75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2</v>
      </c>
    </row>
    <row r="102" spans="1:34" s="34" customFormat="1" ht="33.75" hidden="1" x14ac:dyDescent="0.25">
      <c r="A102" s="62">
        <f t="shared" si="4"/>
        <v>10</v>
      </c>
      <c r="B102" s="82" t="s">
        <v>80</v>
      </c>
      <c r="C102" s="97">
        <v>4</v>
      </c>
      <c r="D102" s="98" t="s">
        <v>36</v>
      </c>
      <c r="E102" s="82" t="s">
        <v>42</v>
      </c>
      <c r="F102" s="112" t="s">
        <v>242</v>
      </c>
      <c r="G102" s="115" t="s">
        <v>244</v>
      </c>
      <c r="H102" s="79"/>
      <c r="I102" s="75"/>
      <c r="J102" s="68">
        <v>1</v>
      </c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3</v>
      </c>
    </row>
    <row r="103" spans="1:34" s="34" customFormat="1" ht="33.75" hidden="1" x14ac:dyDescent="0.25">
      <c r="A103" s="62">
        <f t="shared" si="4"/>
        <v>11</v>
      </c>
      <c r="B103" s="82" t="s">
        <v>81</v>
      </c>
      <c r="C103" s="97">
        <v>50</v>
      </c>
      <c r="D103" s="98" t="s">
        <v>36</v>
      </c>
      <c r="E103" s="82" t="s">
        <v>42</v>
      </c>
      <c r="F103" s="112" t="s">
        <v>242</v>
      </c>
      <c r="G103" s="115" t="s">
        <v>243</v>
      </c>
      <c r="H103" s="79"/>
      <c r="I103" s="75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50</v>
      </c>
    </row>
    <row r="104" spans="1:34" s="34" customFormat="1" ht="33.75" hidden="1" x14ac:dyDescent="0.25">
      <c r="A104" s="62">
        <f t="shared" si="4"/>
        <v>12</v>
      </c>
      <c r="B104" s="82" t="s">
        <v>82</v>
      </c>
      <c r="C104" s="97">
        <v>50</v>
      </c>
      <c r="D104" s="98" t="s">
        <v>36</v>
      </c>
      <c r="E104" s="82" t="s">
        <v>42</v>
      </c>
      <c r="F104" s="112" t="s">
        <v>242</v>
      </c>
      <c r="G104" s="115" t="s">
        <v>243</v>
      </c>
      <c r="H104" s="79"/>
      <c r="I104" s="75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50</v>
      </c>
    </row>
    <row r="105" spans="1:34" s="34" customFormat="1" ht="33.75" hidden="1" x14ac:dyDescent="0.25">
      <c r="A105" s="62">
        <f>1</f>
        <v>1</v>
      </c>
      <c r="B105" s="82" t="s">
        <v>83</v>
      </c>
      <c r="C105" s="97">
        <v>50</v>
      </c>
      <c r="D105" s="98" t="s">
        <v>36</v>
      </c>
      <c r="E105" s="82" t="s">
        <v>42</v>
      </c>
      <c r="F105" s="112" t="s">
        <v>242</v>
      </c>
      <c r="G105" s="115" t="s">
        <v>243</v>
      </c>
      <c r="H105" s="79"/>
      <c r="I105" s="75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50</v>
      </c>
    </row>
    <row r="106" spans="1:34" s="34" customFormat="1" ht="33.75" hidden="1" x14ac:dyDescent="0.25">
      <c r="A106" s="62">
        <f t="shared" ref="A106:A111" si="5">A105+1</f>
        <v>2</v>
      </c>
      <c r="B106" s="82" t="s">
        <v>84</v>
      </c>
      <c r="C106" s="97">
        <v>50</v>
      </c>
      <c r="D106" s="98" t="s">
        <v>36</v>
      </c>
      <c r="E106" s="82" t="s">
        <v>42</v>
      </c>
      <c r="F106" s="112" t="s">
        <v>242</v>
      </c>
      <c r="G106" s="115" t="s">
        <v>243</v>
      </c>
      <c r="H106" s="79"/>
      <c r="I106" s="75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50</v>
      </c>
    </row>
    <row r="107" spans="1:34" s="34" customFormat="1" ht="33.75" hidden="1" x14ac:dyDescent="0.25">
      <c r="A107" s="62">
        <f t="shared" si="5"/>
        <v>3</v>
      </c>
      <c r="B107" s="82" t="s">
        <v>85</v>
      </c>
      <c r="C107" s="97">
        <v>200</v>
      </c>
      <c r="D107" s="98" t="s">
        <v>36</v>
      </c>
      <c r="E107" s="82" t="s">
        <v>42</v>
      </c>
      <c r="F107" s="112" t="s">
        <v>242</v>
      </c>
      <c r="G107" s="115" t="s">
        <v>243</v>
      </c>
      <c r="H107" s="79"/>
      <c r="I107" s="75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200</v>
      </c>
    </row>
    <row r="108" spans="1:34" s="34" customFormat="1" ht="33.75" hidden="1" x14ac:dyDescent="0.25">
      <c r="A108" s="62">
        <f t="shared" si="5"/>
        <v>4</v>
      </c>
      <c r="B108" s="82" t="s">
        <v>211</v>
      </c>
      <c r="C108" s="97">
        <v>3</v>
      </c>
      <c r="D108" s="98" t="s">
        <v>36</v>
      </c>
      <c r="E108" s="82" t="s">
        <v>42</v>
      </c>
      <c r="F108" s="112" t="s">
        <v>242</v>
      </c>
      <c r="G108" s="115" t="s">
        <v>244</v>
      </c>
      <c r="H108" s="79"/>
      <c r="I108" s="75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3</v>
      </c>
    </row>
    <row r="109" spans="1:34" s="34" customFormat="1" ht="33.75" hidden="1" x14ac:dyDescent="0.25">
      <c r="A109" s="62">
        <f t="shared" si="5"/>
        <v>5</v>
      </c>
      <c r="B109" s="82" t="s">
        <v>212</v>
      </c>
      <c r="C109" s="97">
        <v>3</v>
      </c>
      <c r="D109" s="98" t="s">
        <v>36</v>
      </c>
      <c r="E109" s="82" t="s">
        <v>42</v>
      </c>
      <c r="F109" s="112" t="s">
        <v>242</v>
      </c>
      <c r="G109" s="115" t="s">
        <v>243</v>
      </c>
      <c r="H109" s="79"/>
      <c r="I109" s="75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3</v>
      </c>
    </row>
    <row r="110" spans="1:34" s="34" customFormat="1" ht="33.75" hidden="1" x14ac:dyDescent="0.25">
      <c r="A110" s="62">
        <f t="shared" si="5"/>
        <v>6</v>
      </c>
      <c r="B110" s="82" t="s">
        <v>213</v>
      </c>
      <c r="C110" s="97">
        <v>1</v>
      </c>
      <c r="D110" s="98" t="s">
        <v>36</v>
      </c>
      <c r="E110" s="82" t="s">
        <v>42</v>
      </c>
      <c r="F110" s="112" t="s">
        <v>242</v>
      </c>
      <c r="G110" s="115" t="s">
        <v>243</v>
      </c>
      <c r="H110" s="79"/>
      <c r="I110" s="75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</v>
      </c>
    </row>
    <row r="111" spans="1:34" s="34" customFormat="1" ht="34.5" hidden="1" thickBot="1" x14ac:dyDescent="0.3">
      <c r="A111" s="63">
        <f t="shared" si="5"/>
        <v>7</v>
      </c>
      <c r="B111" s="82" t="s">
        <v>214</v>
      </c>
      <c r="C111" s="97">
        <v>6</v>
      </c>
      <c r="D111" s="98" t="s">
        <v>36</v>
      </c>
      <c r="E111" s="82" t="s">
        <v>42</v>
      </c>
      <c r="F111" s="112" t="s">
        <v>242</v>
      </c>
      <c r="G111" s="115" t="s">
        <v>243</v>
      </c>
      <c r="H111" s="81"/>
      <c r="I111" s="75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6</v>
      </c>
    </row>
    <row r="112" spans="1:34" ht="33.75" hidden="1" x14ac:dyDescent="0.25">
      <c r="A112" s="62">
        <f t="shared" ref="A112:A135" si="6">A111+1</f>
        <v>8</v>
      </c>
      <c r="B112" s="82" t="s">
        <v>215</v>
      </c>
      <c r="C112" s="97">
        <v>5</v>
      </c>
      <c r="D112" s="98" t="s">
        <v>36</v>
      </c>
      <c r="E112" s="82" t="s">
        <v>42</v>
      </c>
      <c r="F112" s="112" t="s">
        <v>242</v>
      </c>
      <c r="G112" s="115" t="s">
        <v>243</v>
      </c>
      <c r="H112" s="79"/>
      <c r="I112" s="90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5</v>
      </c>
    </row>
    <row r="113" spans="1:34" ht="33.75" hidden="1" x14ac:dyDescent="0.25">
      <c r="A113" s="62">
        <f t="shared" si="6"/>
        <v>9</v>
      </c>
      <c r="B113" s="82" t="s">
        <v>216</v>
      </c>
      <c r="C113" s="97">
        <v>3</v>
      </c>
      <c r="D113" s="98" t="s">
        <v>36</v>
      </c>
      <c r="E113" s="82" t="s">
        <v>42</v>
      </c>
      <c r="F113" s="112" t="s">
        <v>242</v>
      </c>
      <c r="G113" s="115" t="s">
        <v>243</v>
      </c>
      <c r="H113" s="79"/>
      <c r="I113" s="90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3</v>
      </c>
    </row>
    <row r="114" spans="1:34" ht="33.75" hidden="1" x14ac:dyDescent="0.25">
      <c r="A114" s="62">
        <f t="shared" si="6"/>
        <v>10</v>
      </c>
      <c r="B114" s="82" t="s">
        <v>217</v>
      </c>
      <c r="C114" s="97">
        <v>2</v>
      </c>
      <c r="D114" s="98" t="s">
        <v>36</v>
      </c>
      <c r="E114" s="82" t="s">
        <v>42</v>
      </c>
      <c r="F114" s="112" t="s">
        <v>242</v>
      </c>
      <c r="G114" s="115" t="s">
        <v>244</v>
      </c>
      <c r="H114" s="79"/>
      <c r="I114" s="90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2</v>
      </c>
    </row>
    <row r="115" spans="1:34" ht="33.75" hidden="1" x14ac:dyDescent="0.25">
      <c r="A115" s="62">
        <f t="shared" si="6"/>
        <v>11</v>
      </c>
      <c r="B115" s="82" t="s">
        <v>218</v>
      </c>
      <c r="C115" s="97">
        <v>8</v>
      </c>
      <c r="D115" s="98" t="s">
        <v>36</v>
      </c>
      <c r="E115" s="82" t="s">
        <v>42</v>
      </c>
      <c r="F115" s="112" t="s">
        <v>242</v>
      </c>
      <c r="G115" s="115" t="s">
        <v>244</v>
      </c>
      <c r="H115" s="79"/>
      <c r="I115" s="90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8</v>
      </c>
    </row>
    <row r="116" spans="1:34" s="45" customFormat="1" ht="33.75" hidden="1" x14ac:dyDescent="0.25">
      <c r="A116" s="62">
        <f t="shared" si="6"/>
        <v>12</v>
      </c>
      <c r="B116" s="82" t="s">
        <v>219</v>
      </c>
      <c r="C116" s="97">
        <v>30</v>
      </c>
      <c r="D116" s="98" t="s">
        <v>36</v>
      </c>
      <c r="E116" s="82" t="s">
        <v>42</v>
      </c>
      <c r="F116" s="112" t="s">
        <v>242</v>
      </c>
      <c r="G116" s="115" t="s">
        <v>244</v>
      </c>
      <c r="H116" s="79"/>
      <c r="I116" s="90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30</v>
      </c>
    </row>
    <row r="117" spans="1:34" ht="33.75" hidden="1" x14ac:dyDescent="0.25">
      <c r="A117" s="62">
        <f t="shared" si="6"/>
        <v>13</v>
      </c>
      <c r="B117" s="82" t="s">
        <v>220</v>
      </c>
      <c r="C117" s="97">
        <v>2</v>
      </c>
      <c r="D117" s="98" t="s">
        <v>36</v>
      </c>
      <c r="E117" s="82" t="s">
        <v>42</v>
      </c>
      <c r="F117" s="112" t="s">
        <v>242</v>
      </c>
      <c r="G117" s="115" t="s">
        <v>243</v>
      </c>
      <c r="H117" s="79"/>
      <c r="I117" s="90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2</v>
      </c>
    </row>
    <row r="118" spans="1:34" ht="33.75" hidden="1" x14ac:dyDescent="0.25">
      <c r="A118" s="62">
        <f t="shared" si="6"/>
        <v>14</v>
      </c>
      <c r="B118" s="82" t="s">
        <v>221</v>
      </c>
      <c r="C118" s="97">
        <v>1</v>
      </c>
      <c r="D118" s="98" t="s">
        <v>36</v>
      </c>
      <c r="E118" s="82" t="s">
        <v>42</v>
      </c>
      <c r="F118" s="112" t="s">
        <v>242</v>
      </c>
      <c r="G118" s="115" t="s">
        <v>243</v>
      </c>
      <c r="H118" s="79"/>
      <c r="I118" s="90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</v>
      </c>
    </row>
    <row r="119" spans="1:34" ht="45" hidden="1" x14ac:dyDescent="0.25">
      <c r="A119" s="62">
        <f t="shared" si="6"/>
        <v>15</v>
      </c>
      <c r="B119" s="82" t="s">
        <v>222</v>
      </c>
      <c r="C119" s="97">
        <v>1</v>
      </c>
      <c r="D119" s="98" t="s">
        <v>36</v>
      </c>
      <c r="E119" s="82" t="s">
        <v>42</v>
      </c>
      <c r="F119" s="112" t="s">
        <v>242</v>
      </c>
      <c r="G119" s="115" t="s">
        <v>243</v>
      </c>
      <c r="H119" s="79"/>
      <c r="I119" s="90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</v>
      </c>
    </row>
    <row r="120" spans="1:34" ht="33.75" hidden="1" x14ac:dyDescent="0.25">
      <c r="A120" s="62">
        <f t="shared" si="6"/>
        <v>16</v>
      </c>
      <c r="B120" s="82" t="s">
        <v>223</v>
      </c>
      <c r="C120" s="97">
        <v>6</v>
      </c>
      <c r="D120" s="98" t="s">
        <v>36</v>
      </c>
      <c r="E120" s="82" t="s">
        <v>42</v>
      </c>
      <c r="F120" s="112" t="s">
        <v>242</v>
      </c>
      <c r="G120" s="115" t="s">
        <v>243</v>
      </c>
      <c r="H120" s="79"/>
      <c r="I120" s="90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6</v>
      </c>
    </row>
    <row r="121" spans="1:34" ht="33.75" hidden="1" x14ac:dyDescent="0.25">
      <c r="A121" s="62">
        <f t="shared" si="6"/>
        <v>17</v>
      </c>
      <c r="B121" s="82" t="s">
        <v>224</v>
      </c>
      <c r="C121" s="97">
        <v>6</v>
      </c>
      <c r="D121" s="98" t="s">
        <v>36</v>
      </c>
      <c r="E121" s="82" t="s">
        <v>42</v>
      </c>
      <c r="F121" s="112" t="s">
        <v>242</v>
      </c>
      <c r="G121" s="115" t="s">
        <v>243</v>
      </c>
      <c r="H121" s="79"/>
      <c r="I121" s="90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6</v>
      </c>
    </row>
    <row r="122" spans="1:34" ht="33.75" hidden="1" x14ac:dyDescent="0.25">
      <c r="A122" s="62">
        <f t="shared" si="6"/>
        <v>18</v>
      </c>
      <c r="B122" s="82" t="s">
        <v>225</v>
      </c>
      <c r="C122" s="97">
        <v>3</v>
      </c>
      <c r="D122" s="98" t="s">
        <v>36</v>
      </c>
      <c r="E122" s="82" t="s">
        <v>42</v>
      </c>
      <c r="F122" s="112" t="s">
        <v>242</v>
      </c>
      <c r="G122" s="115" t="s">
        <v>243</v>
      </c>
      <c r="H122" s="79"/>
      <c r="I122" s="90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3</v>
      </c>
    </row>
    <row r="123" spans="1:34" ht="33.75" hidden="1" x14ac:dyDescent="0.25">
      <c r="A123" s="62">
        <f t="shared" si="6"/>
        <v>19</v>
      </c>
      <c r="B123" s="82" t="s">
        <v>226</v>
      </c>
      <c r="C123" s="97">
        <v>3</v>
      </c>
      <c r="D123" s="98" t="s">
        <v>36</v>
      </c>
      <c r="E123" s="82" t="s">
        <v>42</v>
      </c>
      <c r="F123" s="112" t="s">
        <v>242</v>
      </c>
      <c r="G123" s="115" t="s">
        <v>243</v>
      </c>
      <c r="H123" s="79"/>
      <c r="I123" s="90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3</v>
      </c>
    </row>
    <row r="124" spans="1:34" ht="33.75" hidden="1" x14ac:dyDescent="0.25">
      <c r="A124" s="62">
        <f t="shared" si="6"/>
        <v>20</v>
      </c>
      <c r="B124" s="82" t="s">
        <v>227</v>
      </c>
      <c r="C124" s="97">
        <v>3</v>
      </c>
      <c r="D124" s="98" t="s">
        <v>36</v>
      </c>
      <c r="E124" s="82" t="s">
        <v>42</v>
      </c>
      <c r="F124" s="112" t="s">
        <v>242</v>
      </c>
      <c r="G124" s="115" t="s">
        <v>243</v>
      </c>
      <c r="H124" s="79"/>
      <c r="I124" s="90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3</v>
      </c>
    </row>
    <row r="125" spans="1:34" ht="33.75" hidden="1" x14ac:dyDescent="0.25">
      <c r="A125" s="62">
        <f t="shared" si="6"/>
        <v>21</v>
      </c>
      <c r="B125" s="82" t="s">
        <v>228</v>
      </c>
      <c r="C125" s="97">
        <v>5</v>
      </c>
      <c r="D125" s="98" t="s">
        <v>36</v>
      </c>
      <c r="E125" s="82" t="s">
        <v>42</v>
      </c>
      <c r="F125" s="112" t="s">
        <v>242</v>
      </c>
      <c r="G125" s="115" t="s">
        <v>243</v>
      </c>
      <c r="H125" s="79"/>
      <c r="I125" s="90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5</v>
      </c>
    </row>
    <row r="126" spans="1:34" ht="33.75" hidden="1" x14ac:dyDescent="0.25">
      <c r="A126" s="62">
        <f t="shared" si="6"/>
        <v>22</v>
      </c>
      <c r="B126" s="89" t="s">
        <v>229</v>
      </c>
      <c r="C126" s="109">
        <v>6</v>
      </c>
      <c r="D126" s="110" t="s">
        <v>29</v>
      </c>
      <c r="E126" s="89" t="s">
        <v>42</v>
      </c>
      <c r="F126" s="113" t="s">
        <v>242</v>
      </c>
      <c r="G126" s="115" t="s">
        <v>243</v>
      </c>
      <c r="H126" s="79"/>
      <c r="I126" s="90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6</v>
      </c>
    </row>
    <row r="127" spans="1:34" ht="45" hidden="1" x14ac:dyDescent="0.25">
      <c r="A127" s="62">
        <f t="shared" si="6"/>
        <v>23</v>
      </c>
      <c r="B127" s="82" t="s">
        <v>230</v>
      </c>
      <c r="C127" s="97">
        <v>2</v>
      </c>
      <c r="D127" s="98" t="s">
        <v>14</v>
      </c>
      <c r="E127" s="82" t="s">
        <v>239</v>
      </c>
      <c r="F127" s="113" t="s">
        <v>242</v>
      </c>
      <c r="G127" s="115" t="s">
        <v>244</v>
      </c>
      <c r="H127" s="79"/>
      <c r="I127" s="90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2</v>
      </c>
    </row>
    <row r="128" spans="1:34" ht="45" hidden="1" x14ac:dyDescent="0.25">
      <c r="A128" s="62">
        <f t="shared" si="6"/>
        <v>24</v>
      </c>
      <c r="B128" s="89" t="s">
        <v>231</v>
      </c>
      <c r="C128" s="109">
        <v>2</v>
      </c>
      <c r="D128" s="110" t="s">
        <v>14</v>
      </c>
      <c r="E128" s="82" t="s">
        <v>239</v>
      </c>
      <c r="F128" s="113" t="s">
        <v>242</v>
      </c>
      <c r="G128" s="115" t="s">
        <v>244</v>
      </c>
      <c r="H128" s="79"/>
      <c r="I128" s="90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2</v>
      </c>
    </row>
    <row r="129" spans="1:34" ht="33.75" hidden="1" x14ac:dyDescent="0.25">
      <c r="A129" s="62">
        <f t="shared" si="6"/>
        <v>25</v>
      </c>
      <c r="B129" s="82" t="s">
        <v>232</v>
      </c>
      <c r="C129" s="97">
        <v>2</v>
      </c>
      <c r="D129" s="98" t="s">
        <v>14</v>
      </c>
      <c r="E129" s="82" t="s">
        <v>239</v>
      </c>
      <c r="F129" s="113" t="s">
        <v>242</v>
      </c>
      <c r="G129" s="115" t="s">
        <v>244</v>
      </c>
      <c r="H129" s="79"/>
      <c r="I129" s="90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2</v>
      </c>
    </row>
    <row r="130" spans="1:34" ht="22.5" hidden="1" x14ac:dyDescent="0.25">
      <c r="A130" s="62">
        <f t="shared" si="6"/>
        <v>26</v>
      </c>
      <c r="B130" s="89" t="s">
        <v>233</v>
      </c>
      <c r="C130" s="109">
        <v>7</v>
      </c>
      <c r="D130" s="110" t="s">
        <v>14</v>
      </c>
      <c r="E130" s="82" t="s">
        <v>239</v>
      </c>
      <c r="F130" s="113" t="s">
        <v>242</v>
      </c>
      <c r="G130" s="115" t="s">
        <v>244</v>
      </c>
      <c r="H130" s="79"/>
      <c r="I130" s="90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7</v>
      </c>
    </row>
    <row r="131" spans="1:34" ht="22.5" hidden="1" x14ac:dyDescent="0.25">
      <c r="A131" s="62">
        <f t="shared" si="6"/>
        <v>27</v>
      </c>
      <c r="B131" s="82" t="s">
        <v>234</v>
      </c>
      <c r="C131" s="97">
        <v>7</v>
      </c>
      <c r="D131" s="98" t="s">
        <v>14</v>
      </c>
      <c r="E131" s="82" t="s">
        <v>239</v>
      </c>
      <c r="F131" s="113" t="s">
        <v>242</v>
      </c>
      <c r="G131" s="115" t="s">
        <v>244</v>
      </c>
      <c r="H131" s="79"/>
      <c r="I131" s="90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7</v>
      </c>
    </row>
    <row r="132" spans="1:34" ht="22.5" hidden="1" x14ac:dyDescent="0.25">
      <c r="A132" s="62">
        <f t="shared" si="6"/>
        <v>28</v>
      </c>
      <c r="B132" s="89" t="s">
        <v>235</v>
      </c>
      <c r="C132" s="109">
        <v>2</v>
      </c>
      <c r="D132" s="110" t="s">
        <v>14</v>
      </c>
      <c r="E132" s="82" t="s">
        <v>239</v>
      </c>
      <c r="F132" s="113" t="s">
        <v>242</v>
      </c>
      <c r="G132" s="115" t="s">
        <v>244</v>
      </c>
      <c r="H132" s="79"/>
      <c r="I132" s="90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2</v>
      </c>
    </row>
    <row r="133" spans="1:34" ht="22.5" hidden="1" x14ac:dyDescent="0.25">
      <c r="A133" s="62">
        <f t="shared" si="6"/>
        <v>29</v>
      </c>
      <c r="B133" s="82" t="s">
        <v>236</v>
      </c>
      <c r="C133" s="97">
        <v>1</v>
      </c>
      <c r="D133" s="98" t="s">
        <v>14</v>
      </c>
      <c r="E133" s="82" t="s">
        <v>239</v>
      </c>
      <c r="F133" s="113" t="s">
        <v>242</v>
      </c>
      <c r="G133" s="115" t="s">
        <v>244</v>
      </c>
      <c r="H133" s="79"/>
      <c r="I133" s="90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1</v>
      </c>
    </row>
    <row r="134" spans="1:34" ht="22.5" hidden="1" x14ac:dyDescent="0.25">
      <c r="A134" s="62">
        <f t="shared" si="6"/>
        <v>30</v>
      </c>
      <c r="B134" s="89" t="s">
        <v>237</v>
      </c>
      <c r="C134" s="109">
        <v>2</v>
      </c>
      <c r="D134" s="110" t="s">
        <v>14</v>
      </c>
      <c r="E134" s="82" t="s">
        <v>239</v>
      </c>
      <c r="F134" s="113" t="s">
        <v>242</v>
      </c>
      <c r="G134" s="115" t="s">
        <v>244</v>
      </c>
      <c r="H134" s="79"/>
      <c r="I134" s="90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2</v>
      </c>
    </row>
    <row r="135" spans="1:34" ht="23.25" hidden="1" thickBot="1" x14ac:dyDescent="0.3">
      <c r="A135" s="62">
        <f t="shared" si="6"/>
        <v>31</v>
      </c>
      <c r="B135" s="82" t="s">
        <v>238</v>
      </c>
      <c r="C135" s="97">
        <v>2</v>
      </c>
      <c r="D135" s="98" t="s">
        <v>14</v>
      </c>
      <c r="E135" s="82" t="s">
        <v>239</v>
      </c>
      <c r="F135" s="113" t="s">
        <v>242</v>
      </c>
      <c r="G135" s="116" t="s">
        <v>244</v>
      </c>
      <c r="H135" s="79"/>
      <c r="I135" s="90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>
        <f>Tabla13[[#This Row],[Cantidad]]-Tabla13[[#This Row],[SAL 0]]-Tabla13[[#This Row],[SAL 1]]-Tabla13[[#This Row],[SAL2]]-Tabla13[[#This Row],[SAL3]]-Tabla13[[#This Row],[SAL 4]]-Tabla13[[#This Row],[SAL 5]]-Tabla13[[#This Row],[SAL 6]]-Tabla13[[#This Row],[SAL 7]]-Tabla13[[#This Row],[SAL 20]]-Tabla13[[#This Row],[SAL 21]]-Tabla13[[#This Row],[SAL 22]]-Tabla13[[#This Row],[SAL 17]]-Tabla13[[#This Row],[SAL 18]]-Tabla13[[#This Row],[SAL 19]]-Tabla13[[#This Row],[SAL 23]]-Tabla13[[#This Row],[SAL 24]]-Tabla13[[#This Row],[SAL 8]]-Tabla13[[#This Row],[SAL 9]]-Tabla13[[#This Row],[SAL 11]]-Tabla13[[#This Row],[SAL 10]]-Tabla13[[#This Row],[SAL 12]]</f>
        <v>2</v>
      </c>
    </row>
    <row r="136" spans="1:34" x14ac:dyDescent="0.25">
      <c r="A136" s="62"/>
      <c r="B136" s="82"/>
      <c r="C136" s="36"/>
      <c r="D136" s="91"/>
      <c r="E136" s="92"/>
      <c r="F136" s="93"/>
      <c r="G136" s="93"/>
      <c r="H136" s="94"/>
      <c r="I136" s="95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  <c r="AG136" s="96"/>
      <c r="AH136" s="96"/>
    </row>
    <row r="137" spans="1:34" x14ac:dyDescent="0.25">
      <c r="A137" s="62"/>
      <c r="B137" s="82"/>
      <c r="C137" s="36"/>
      <c r="D137" s="91"/>
      <c r="E137" s="92"/>
      <c r="F137" s="93"/>
      <c r="G137" s="93"/>
      <c r="H137" s="94"/>
      <c r="I137" s="95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  <c r="AD137" s="96"/>
      <c r="AE137" s="96"/>
      <c r="AF137" s="96"/>
      <c r="AG137" s="96"/>
      <c r="AH137" s="96"/>
    </row>
    <row r="138" spans="1:34" x14ac:dyDescent="0.25">
      <c r="A138" s="62"/>
      <c r="B138" s="82"/>
      <c r="C138" s="36"/>
      <c r="D138" s="91"/>
      <c r="E138" s="92"/>
      <c r="F138" s="93"/>
      <c r="G138" s="93"/>
      <c r="H138" s="94"/>
      <c r="I138" s="95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  <c r="AD138" s="96"/>
      <c r="AE138" s="96"/>
      <c r="AF138" s="96"/>
      <c r="AG138" s="96"/>
      <c r="AH138" s="96"/>
    </row>
    <row r="139" spans="1:34" x14ac:dyDescent="0.25">
      <c r="A139" s="62"/>
      <c r="B139" s="82"/>
      <c r="C139" s="36"/>
      <c r="D139" s="91"/>
      <c r="E139" s="92"/>
      <c r="F139" s="93"/>
      <c r="G139" s="93"/>
      <c r="H139" s="94"/>
      <c r="I139" s="95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  <c r="AG139" s="96"/>
      <c r="AH139" s="96"/>
    </row>
    <row r="140" spans="1:34" x14ac:dyDescent="0.25">
      <c r="A140" s="62"/>
      <c r="B140" s="82"/>
      <c r="C140" s="36"/>
      <c r="D140" s="91"/>
      <c r="E140" s="92"/>
      <c r="F140" s="93"/>
      <c r="G140" s="93"/>
      <c r="H140" s="94"/>
      <c r="I140" s="95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  <c r="AD140" s="96"/>
      <c r="AE140" s="96"/>
      <c r="AF140" s="96"/>
      <c r="AG140" s="96"/>
      <c r="AH140" s="96"/>
    </row>
    <row r="141" spans="1:34" x14ac:dyDescent="0.25">
      <c r="A141" s="62"/>
      <c r="B141" s="82"/>
      <c r="C141" s="36"/>
      <c r="D141" s="91"/>
      <c r="E141" s="92"/>
      <c r="F141" s="93"/>
      <c r="G141" s="93"/>
      <c r="H141" s="94"/>
      <c r="I141" s="95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96"/>
      <c r="AD141" s="96"/>
      <c r="AE141" s="96"/>
      <c r="AF141" s="96"/>
      <c r="AG141" s="96"/>
      <c r="AH141" s="96"/>
    </row>
    <row r="142" spans="1:34" x14ac:dyDescent="0.25">
      <c r="A142" s="62"/>
      <c r="B142" s="82"/>
      <c r="C142" s="36"/>
      <c r="D142" s="91"/>
      <c r="E142" s="92"/>
      <c r="F142" s="93"/>
      <c r="G142" s="93"/>
      <c r="H142" s="94"/>
      <c r="I142" s="95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  <c r="AD142" s="96"/>
      <c r="AE142" s="96"/>
      <c r="AF142" s="96"/>
      <c r="AG142" s="96"/>
      <c r="AH142" s="96"/>
    </row>
    <row r="143" spans="1:34" x14ac:dyDescent="0.25">
      <c r="A143" s="62"/>
      <c r="B143" s="82"/>
      <c r="C143" s="36"/>
      <c r="D143" s="91"/>
      <c r="E143" s="92"/>
      <c r="F143" s="93"/>
      <c r="G143" s="93"/>
      <c r="H143" s="94"/>
      <c r="I143" s="95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6"/>
      <c r="AD143" s="96"/>
      <c r="AE143" s="96"/>
      <c r="AF143" s="96"/>
      <c r="AG143" s="96"/>
      <c r="AH143" s="96"/>
    </row>
    <row r="144" spans="1:34" x14ac:dyDescent="0.25">
      <c r="A144" s="62"/>
      <c r="B144" s="82"/>
      <c r="C144" s="36"/>
      <c r="D144" s="91"/>
      <c r="E144" s="92"/>
      <c r="F144" s="93"/>
      <c r="G144" s="93"/>
      <c r="H144" s="94"/>
      <c r="I144" s="95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96"/>
      <c r="AD144" s="96"/>
      <c r="AE144" s="96"/>
      <c r="AF144" s="96"/>
      <c r="AG144" s="96"/>
      <c r="AH144" s="96"/>
    </row>
    <row r="145" spans="1:34" x14ac:dyDescent="0.25">
      <c r="A145" s="62"/>
      <c r="B145" s="82"/>
      <c r="C145" s="36"/>
      <c r="D145" s="91"/>
      <c r="E145" s="92"/>
      <c r="F145" s="93"/>
      <c r="G145" s="93"/>
      <c r="H145" s="94"/>
      <c r="I145" s="95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  <c r="AC145" s="96"/>
      <c r="AD145" s="96"/>
      <c r="AE145" s="96"/>
      <c r="AF145" s="96"/>
      <c r="AG145" s="96"/>
      <c r="AH145" s="96"/>
    </row>
    <row r="146" spans="1:34" x14ac:dyDescent="0.25">
      <c r="A146" s="62"/>
      <c r="B146" s="82"/>
      <c r="C146" s="36"/>
      <c r="D146" s="91"/>
      <c r="E146" s="92"/>
      <c r="F146" s="93"/>
      <c r="G146" s="93"/>
      <c r="H146" s="94"/>
      <c r="I146" s="95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  <c r="AC146" s="96"/>
      <c r="AD146" s="96"/>
      <c r="AE146" s="96"/>
      <c r="AF146" s="96"/>
      <c r="AG146" s="96"/>
      <c r="AH146" s="96"/>
    </row>
    <row r="147" spans="1:34" x14ac:dyDescent="0.25">
      <c r="A147" s="62"/>
      <c r="B147" s="82"/>
      <c r="C147" s="36"/>
      <c r="D147" s="91"/>
      <c r="E147" s="92"/>
      <c r="F147" s="93"/>
      <c r="G147" s="93"/>
      <c r="H147" s="94"/>
      <c r="I147" s="95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  <c r="AC147" s="96"/>
      <c r="AD147" s="96"/>
      <c r="AE147" s="96"/>
      <c r="AF147" s="96"/>
      <c r="AG147" s="96"/>
      <c r="AH147" s="96"/>
    </row>
    <row r="148" spans="1:34" x14ac:dyDescent="0.25">
      <c r="A148" s="62"/>
      <c r="B148" s="82"/>
      <c r="C148" s="36"/>
      <c r="D148" s="91"/>
      <c r="E148" s="92"/>
      <c r="F148" s="93"/>
      <c r="G148" s="93"/>
      <c r="H148" s="94"/>
      <c r="I148" s="95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  <c r="AD148" s="96"/>
      <c r="AE148" s="96"/>
      <c r="AF148" s="96"/>
      <c r="AG148" s="96"/>
      <c r="AH148" s="96"/>
    </row>
    <row r="149" spans="1:34" x14ac:dyDescent="0.25">
      <c r="A149" s="62"/>
      <c r="B149" s="82"/>
      <c r="C149" s="36"/>
      <c r="D149" s="91"/>
      <c r="E149" s="92"/>
      <c r="F149" s="93"/>
      <c r="G149" s="93"/>
      <c r="H149" s="94"/>
      <c r="I149" s="95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96"/>
      <c r="AH149" s="96"/>
    </row>
    <row r="150" spans="1:34" x14ac:dyDescent="0.25">
      <c r="A150" s="62"/>
      <c r="B150" s="82"/>
      <c r="C150" s="36"/>
      <c r="D150" s="91"/>
      <c r="E150" s="92"/>
      <c r="F150" s="93"/>
      <c r="G150" s="93"/>
      <c r="H150" s="94"/>
      <c r="I150" s="95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  <c r="AC150" s="96"/>
      <c r="AD150" s="96"/>
      <c r="AE150" s="96"/>
      <c r="AF150" s="96"/>
      <c r="AG150" s="96"/>
      <c r="AH150" s="96"/>
    </row>
    <row r="151" spans="1:34" x14ac:dyDescent="0.25">
      <c r="A151" s="62"/>
      <c r="B151" s="82"/>
      <c r="C151" s="36"/>
      <c r="D151" s="91"/>
      <c r="E151" s="92"/>
      <c r="F151" s="93"/>
      <c r="G151" s="93"/>
      <c r="H151" s="94"/>
      <c r="I151" s="95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  <c r="AG151" s="96"/>
      <c r="AH151" s="96"/>
    </row>
    <row r="152" spans="1:34" ht="30" x14ac:dyDescent="0.25">
      <c r="A152" s="42"/>
      <c r="B152" s="43" t="s">
        <v>155</v>
      </c>
      <c r="C152" s="43" t="s">
        <v>156</v>
      </c>
      <c r="D152" s="44" t="s">
        <v>157</v>
      </c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</row>
    <row r="153" spans="1:34" x14ac:dyDescent="0.25">
      <c r="A153" s="46" t="s">
        <v>43</v>
      </c>
      <c r="B153" s="32">
        <f>COUNTIFS(Tabla13[LLEGADA DEL ITEM],"SI",Tabla13[CARRERA],"LGS")</f>
        <v>0</v>
      </c>
      <c r="C153" s="47">
        <v>82</v>
      </c>
      <c r="D153" s="48">
        <f>B153/C153</f>
        <v>0</v>
      </c>
    </row>
    <row r="154" spans="1:34" x14ac:dyDescent="0.25">
      <c r="A154" s="46" t="s">
        <v>138</v>
      </c>
      <c r="B154" s="32">
        <f>COUNTIFS(Tabla13[LLEGADA DEL ITEM],"SI",Tabla13[CARRERA],"LND")</f>
        <v>0</v>
      </c>
      <c r="C154" s="47">
        <v>21</v>
      </c>
      <c r="D154" s="48">
        <f t="shared" ref="D154:D155" si="7">B154/C154</f>
        <v>0</v>
      </c>
    </row>
    <row r="155" spans="1:34" ht="15.75" thickBot="1" x14ac:dyDescent="0.3">
      <c r="A155" s="49" t="s">
        <v>154</v>
      </c>
      <c r="B155" s="50">
        <f>COUNTIFS(Tabla13[LLEGADA DEL ITEM],"SI",Tabla13[CARRERA],"LTH")</f>
        <v>0</v>
      </c>
      <c r="C155" s="51">
        <v>7</v>
      </c>
      <c r="D155" s="52">
        <f t="shared" si="7"/>
        <v>0</v>
      </c>
    </row>
  </sheetData>
  <conditionalFormatting sqref="G2:G135">
    <cfRule type="cellIs" dxfId="6" priority="1" operator="equal">
      <formula>"RECIBIDO"</formula>
    </cfRule>
  </conditionalFormatting>
  <conditionalFormatting sqref="G136:G151">
    <cfRule type="cellIs" dxfId="5" priority="3" operator="equal">
      <formula>"NO"</formula>
    </cfRule>
  </conditionalFormatting>
  <conditionalFormatting sqref="AH2:AH151">
    <cfRule type="cellIs" dxfId="4" priority="2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A8DA6-2A37-41FE-9652-DD9571E64968}">
  <sheetPr filterMode="1">
    <tabColor theme="9" tint="-0.499984740745262"/>
  </sheetPr>
  <dimension ref="A1:AJ97"/>
  <sheetViews>
    <sheetView zoomScale="70" zoomScaleNormal="70" workbookViewId="0">
      <pane xSplit="11" ySplit="6" topLeftCell="L7" activePane="bottomRight" state="frozen"/>
      <selection pane="topRight" activeCell="L1" sqref="L1"/>
      <selection pane="bottomLeft" activeCell="A7" sqref="A7"/>
      <selection pane="bottomRight" activeCell="F1" sqref="F1"/>
    </sheetView>
  </sheetViews>
  <sheetFormatPr baseColWidth="10" defaultRowHeight="15" x14ac:dyDescent="0.25"/>
  <cols>
    <col min="6" max="6" width="28.5703125" style="53" customWidth="1"/>
    <col min="10" max="10" width="27.42578125" customWidth="1"/>
    <col min="21" max="35" width="0" hidden="1" customWidth="1"/>
  </cols>
  <sheetData>
    <row r="1" spans="1:36" ht="39" thickBot="1" x14ac:dyDescent="0.3">
      <c r="A1" s="153" t="s">
        <v>253</v>
      </c>
      <c r="B1" s="154" t="s">
        <v>254</v>
      </c>
      <c r="C1" s="154" t="s">
        <v>255</v>
      </c>
      <c r="D1" s="154" t="s">
        <v>256</v>
      </c>
      <c r="E1" s="154" t="s">
        <v>14</v>
      </c>
      <c r="F1" s="154" t="s">
        <v>257</v>
      </c>
      <c r="G1" s="154" t="s">
        <v>258</v>
      </c>
      <c r="H1" s="155" t="s">
        <v>259</v>
      </c>
      <c r="I1" s="156" t="s">
        <v>260</v>
      </c>
      <c r="J1" s="155" t="s">
        <v>37</v>
      </c>
      <c r="K1" s="157" t="s">
        <v>169</v>
      </c>
      <c r="L1" s="144" t="s">
        <v>158</v>
      </c>
      <c r="M1" s="144" t="s">
        <v>159</v>
      </c>
      <c r="N1" s="144" t="s">
        <v>160</v>
      </c>
      <c r="O1" s="144" t="s">
        <v>161</v>
      </c>
      <c r="P1" s="144" t="s">
        <v>162</v>
      </c>
      <c r="Q1" s="144" t="s">
        <v>163</v>
      </c>
      <c r="R1" s="144" t="s">
        <v>164</v>
      </c>
      <c r="S1" s="144" t="s">
        <v>165</v>
      </c>
      <c r="T1" s="145" t="s">
        <v>166</v>
      </c>
      <c r="U1" s="128" t="s">
        <v>167</v>
      </c>
      <c r="V1" s="129" t="s">
        <v>176</v>
      </c>
      <c r="W1" s="129" t="s">
        <v>177</v>
      </c>
      <c r="X1" s="129" t="s">
        <v>178</v>
      </c>
      <c r="Y1" s="127" t="s">
        <v>179</v>
      </c>
      <c r="Z1" s="128" t="s">
        <v>180</v>
      </c>
      <c r="AA1" s="129" t="s">
        <v>185</v>
      </c>
      <c r="AB1" s="129" t="s">
        <v>186</v>
      </c>
      <c r="AC1" s="127" t="s">
        <v>187</v>
      </c>
      <c r="AD1" s="128" t="s">
        <v>188</v>
      </c>
      <c r="AE1" s="129" t="s">
        <v>189</v>
      </c>
      <c r="AF1" s="128" t="s">
        <v>190</v>
      </c>
      <c r="AG1" s="129" t="s">
        <v>191</v>
      </c>
      <c r="AH1" s="128" t="s">
        <v>192</v>
      </c>
      <c r="AI1" s="146" t="s">
        <v>193</v>
      </c>
      <c r="AJ1" s="148" t="s">
        <v>168</v>
      </c>
    </row>
    <row r="2" spans="1:36" ht="45" x14ac:dyDescent="0.25">
      <c r="A2" s="149" t="s">
        <v>261</v>
      </c>
      <c r="B2" s="150" t="s">
        <v>262</v>
      </c>
      <c r="C2" s="151" t="s">
        <v>263</v>
      </c>
      <c r="D2" s="151">
        <v>7</v>
      </c>
      <c r="E2" s="151" t="s">
        <v>29</v>
      </c>
      <c r="F2" s="151" t="s">
        <v>129</v>
      </c>
      <c r="G2" s="151">
        <v>32</v>
      </c>
      <c r="H2" s="151">
        <v>224</v>
      </c>
      <c r="I2" s="152" t="s">
        <v>299</v>
      </c>
      <c r="J2" s="136" t="s">
        <v>265</v>
      </c>
      <c r="K2" s="142"/>
      <c r="L2" s="143"/>
      <c r="M2" s="143"/>
      <c r="N2" s="143"/>
      <c r="O2" s="143"/>
      <c r="P2" s="143"/>
      <c r="Q2" s="143"/>
      <c r="R2" s="143"/>
      <c r="S2" s="143"/>
      <c r="T2" s="143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47">
        <f>D2-(SUM(K2:AH2))</f>
        <v>7</v>
      </c>
    </row>
    <row r="3" spans="1:36" ht="45" x14ac:dyDescent="0.25">
      <c r="A3" s="135" t="s">
        <v>261</v>
      </c>
      <c r="B3" s="125" t="s">
        <v>262</v>
      </c>
      <c r="C3" s="123" t="s">
        <v>263</v>
      </c>
      <c r="D3" s="123">
        <v>1</v>
      </c>
      <c r="E3" s="123" t="s">
        <v>46</v>
      </c>
      <c r="F3" s="123" t="s">
        <v>45</v>
      </c>
      <c r="G3" s="123">
        <v>150</v>
      </c>
      <c r="H3" s="123">
        <v>150</v>
      </c>
      <c r="I3" s="152" t="s">
        <v>299</v>
      </c>
      <c r="J3" s="136" t="s">
        <v>265</v>
      </c>
      <c r="K3" s="75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132">
        <f t="shared" ref="AJ3:AJ66" si="0">D3-(SUM(K3:AH3))</f>
        <v>1</v>
      </c>
    </row>
    <row r="4" spans="1:36" ht="45" x14ac:dyDescent="0.25">
      <c r="A4" s="135" t="s">
        <v>261</v>
      </c>
      <c r="B4" s="125" t="s">
        <v>262</v>
      </c>
      <c r="C4" s="123" t="s">
        <v>263</v>
      </c>
      <c r="D4" s="123">
        <v>1</v>
      </c>
      <c r="E4" s="123" t="s">
        <v>46</v>
      </c>
      <c r="F4" s="123" t="s">
        <v>266</v>
      </c>
      <c r="G4" s="123">
        <v>210</v>
      </c>
      <c r="H4" s="123">
        <v>210</v>
      </c>
      <c r="I4" s="152" t="s">
        <v>299</v>
      </c>
      <c r="J4" s="136" t="s">
        <v>265</v>
      </c>
      <c r="K4" s="130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2">
        <f t="shared" si="0"/>
        <v>1</v>
      </c>
    </row>
    <row r="5" spans="1:36" ht="45" x14ac:dyDescent="0.25">
      <c r="A5" s="135" t="s">
        <v>261</v>
      </c>
      <c r="B5" s="125" t="s">
        <v>262</v>
      </c>
      <c r="C5" s="123" t="s">
        <v>263</v>
      </c>
      <c r="D5" s="123">
        <v>1</v>
      </c>
      <c r="E5" s="123" t="s">
        <v>46</v>
      </c>
      <c r="F5" s="123" t="s">
        <v>267</v>
      </c>
      <c r="G5" s="123">
        <v>350</v>
      </c>
      <c r="H5" s="123">
        <v>350</v>
      </c>
      <c r="I5" s="152" t="s">
        <v>299</v>
      </c>
      <c r="J5" s="136" t="s">
        <v>265</v>
      </c>
      <c r="K5" s="75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132">
        <f t="shared" si="0"/>
        <v>1</v>
      </c>
    </row>
    <row r="6" spans="1:36" ht="45" x14ac:dyDescent="0.25">
      <c r="A6" s="135" t="s">
        <v>261</v>
      </c>
      <c r="B6" s="125" t="s">
        <v>262</v>
      </c>
      <c r="C6" s="123" t="s">
        <v>263</v>
      </c>
      <c r="D6" s="123">
        <v>200</v>
      </c>
      <c r="E6" s="123" t="s">
        <v>36</v>
      </c>
      <c r="F6" s="123" t="s">
        <v>53</v>
      </c>
      <c r="G6" s="123">
        <v>0.3</v>
      </c>
      <c r="H6" s="123">
        <v>60</v>
      </c>
      <c r="I6" s="152" t="s">
        <v>299</v>
      </c>
      <c r="J6" s="136" t="s">
        <v>265</v>
      </c>
      <c r="K6" s="130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2">
        <f t="shared" si="0"/>
        <v>200</v>
      </c>
    </row>
    <row r="7" spans="1:36" ht="45" x14ac:dyDescent="0.25">
      <c r="A7" s="135" t="s">
        <v>261</v>
      </c>
      <c r="B7" s="125" t="s">
        <v>262</v>
      </c>
      <c r="C7" s="123" t="s">
        <v>263</v>
      </c>
      <c r="D7" s="123">
        <v>300</v>
      </c>
      <c r="E7" s="123" t="s">
        <v>36</v>
      </c>
      <c r="F7" s="123" t="s">
        <v>56</v>
      </c>
      <c r="G7" s="123">
        <v>5.4</v>
      </c>
      <c r="H7" s="123">
        <v>1620</v>
      </c>
      <c r="I7" s="152" t="s">
        <v>299</v>
      </c>
      <c r="J7" s="136" t="s">
        <v>265</v>
      </c>
      <c r="K7" s="75"/>
      <c r="L7" s="68"/>
      <c r="M7" s="68"/>
      <c r="N7" s="68">
        <v>24</v>
      </c>
      <c r="O7" s="68"/>
      <c r="P7" s="68">
        <v>40</v>
      </c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132">
        <f t="shared" si="0"/>
        <v>236</v>
      </c>
    </row>
    <row r="8" spans="1:36" ht="45" x14ac:dyDescent="0.25">
      <c r="A8" s="135" t="s">
        <v>261</v>
      </c>
      <c r="B8" s="125" t="s">
        <v>262</v>
      </c>
      <c r="C8" s="123" t="s">
        <v>263</v>
      </c>
      <c r="D8" s="123">
        <v>5</v>
      </c>
      <c r="E8" s="123" t="s">
        <v>59</v>
      </c>
      <c r="F8" s="123" t="s">
        <v>58</v>
      </c>
      <c r="G8" s="123">
        <v>30</v>
      </c>
      <c r="H8" s="123">
        <v>150</v>
      </c>
      <c r="I8" s="152" t="s">
        <v>299</v>
      </c>
      <c r="J8" s="136" t="s">
        <v>265</v>
      </c>
      <c r="K8" s="130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2">
        <f t="shared" si="0"/>
        <v>5</v>
      </c>
    </row>
    <row r="9" spans="1:36" ht="45" x14ac:dyDescent="0.25">
      <c r="A9" s="135" t="s">
        <v>261</v>
      </c>
      <c r="B9" s="125" t="s">
        <v>262</v>
      </c>
      <c r="C9" s="123" t="s">
        <v>263</v>
      </c>
      <c r="D9" s="123">
        <v>6</v>
      </c>
      <c r="E9" s="123" t="s">
        <v>36</v>
      </c>
      <c r="F9" s="123" t="s">
        <v>60</v>
      </c>
      <c r="G9" s="123">
        <v>50</v>
      </c>
      <c r="H9" s="123">
        <v>300</v>
      </c>
      <c r="I9" s="152" t="s">
        <v>299</v>
      </c>
      <c r="J9" s="136" t="s">
        <v>265</v>
      </c>
      <c r="K9" s="75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132">
        <f t="shared" si="0"/>
        <v>6</v>
      </c>
    </row>
    <row r="10" spans="1:36" ht="45" x14ac:dyDescent="0.25">
      <c r="A10" s="135" t="s">
        <v>261</v>
      </c>
      <c r="B10" s="125" t="s">
        <v>262</v>
      </c>
      <c r="C10" s="123" t="s">
        <v>263</v>
      </c>
      <c r="D10" s="123">
        <v>6</v>
      </c>
      <c r="E10" s="123" t="s">
        <v>36</v>
      </c>
      <c r="F10" s="123" t="s">
        <v>61</v>
      </c>
      <c r="G10" s="123">
        <v>50</v>
      </c>
      <c r="H10" s="123">
        <v>300</v>
      </c>
      <c r="I10" s="152" t="s">
        <v>299</v>
      </c>
      <c r="J10" s="136" t="s">
        <v>265</v>
      </c>
      <c r="K10" s="130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2">
        <f t="shared" si="0"/>
        <v>6</v>
      </c>
    </row>
    <row r="11" spans="1:36" ht="45" x14ac:dyDescent="0.25">
      <c r="A11" s="135" t="s">
        <v>261</v>
      </c>
      <c r="B11" s="125" t="s">
        <v>262</v>
      </c>
      <c r="C11" s="123" t="s">
        <v>263</v>
      </c>
      <c r="D11" s="123">
        <v>200</v>
      </c>
      <c r="E11" s="123" t="s">
        <v>36</v>
      </c>
      <c r="F11" s="123" t="s">
        <v>63</v>
      </c>
      <c r="G11" s="123">
        <v>1.5</v>
      </c>
      <c r="H11" s="123">
        <v>300</v>
      </c>
      <c r="I11" s="152" t="s">
        <v>299</v>
      </c>
      <c r="J11" s="136" t="s">
        <v>265</v>
      </c>
      <c r="K11" s="75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132">
        <f t="shared" si="0"/>
        <v>200</v>
      </c>
    </row>
    <row r="12" spans="1:36" ht="45" x14ac:dyDescent="0.25">
      <c r="A12" s="135" t="s">
        <v>261</v>
      </c>
      <c r="B12" s="125" t="s">
        <v>262</v>
      </c>
      <c r="C12" s="123" t="s">
        <v>263</v>
      </c>
      <c r="D12" s="123">
        <v>20</v>
      </c>
      <c r="E12" s="123" t="s">
        <v>36</v>
      </c>
      <c r="F12" s="123" t="s">
        <v>64</v>
      </c>
      <c r="G12" s="123">
        <v>5</v>
      </c>
      <c r="H12" s="123">
        <v>100</v>
      </c>
      <c r="I12" s="152" t="s">
        <v>299</v>
      </c>
      <c r="J12" s="136" t="s">
        <v>265</v>
      </c>
      <c r="K12" s="130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2">
        <f t="shared" si="0"/>
        <v>20</v>
      </c>
    </row>
    <row r="13" spans="1:36" ht="45" x14ac:dyDescent="0.25">
      <c r="A13" s="135" t="s">
        <v>261</v>
      </c>
      <c r="B13" s="125" t="s">
        <v>262</v>
      </c>
      <c r="C13" s="123" t="s">
        <v>263</v>
      </c>
      <c r="D13" s="123">
        <v>30</v>
      </c>
      <c r="E13" s="123" t="s">
        <v>36</v>
      </c>
      <c r="F13" s="123" t="s">
        <v>268</v>
      </c>
      <c r="G13" s="123">
        <v>55</v>
      </c>
      <c r="H13" s="123">
        <v>1650</v>
      </c>
      <c r="I13" s="152" t="s">
        <v>299</v>
      </c>
      <c r="J13" s="136" t="s">
        <v>265</v>
      </c>
      <c r="K13" s="75"/>
      <c r="L13" s="68"/>
      <c r="M13" s="68"/>
      <c r="N13" s="68">
        <v>10</v>
      </c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132">
        <f t="shared" si="0"/>
        <v>20</v>
      </c>
    </row>
    <row r="14" spans="1:36" ht="45" x14ac:dyDescent="0.25">
      <c r="A14" s="135" t="s">
        <v>261</v>
      </c>
      <c r="B14" s="125" t="s">
        <v>262</v>
      </c>
      <c r="C14" s="123" t="s">
        <v>263</v>
      </c>
      <c r="D14" s="123">
        <v>30</v>
      </c>
      <c r="E14" s="123" t="s">
        <v>36</v>
      </c>
      <c r="F14" s="123" t="s">
        <v>269</v>
      </c>
      <c r="G14" s="123">
        <v>95</v>
      </c>
      <c r="H14" s="123">
        <v>2850</v>
      </c>
      <c r="I14" s="152" t="s">
        <v>299</v>
      </c>
      <c r="J14" s="136" t="s">
        <v>265</v>
      </c>
      <c r="K14" s="130"/>
      <c r="L14" s="131"/>
      <c r="M14" s="131"/>
      <c r="N14" s="131">
        <v>10</v>
      </c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2">
        <f t="shared" si="0"/>
        <v>20</v>
      </c>
    </row>
    <row r="15" spans="1:36" ht="45" x14ac:dyDescent="0.25">
      <c r="A15" s="135" t="s">
        <v>261</v>
      </c>
      <c r="B15" s="125" t="s">
        <v>262</v>
      </c>
      <c r="C15" s="123" t="s">
        <v>263</v>
      </c>
      <c r="D15" s="123">
        <v>2</v>
      </c>
      <c r="E15" s="123" t="s">
        <v>46</v>
      </c>
      <c r="F15" s="123" t="s">
        <v>270</v>
      </c>
      <c r="G15" s="123">
        <v>25</v>
      </c>
      <c r="H15" s="123">
        <v>50</v>
      </c>
      <c r="I15" s="152" t="s">
        <v>299</v>
      </c>
      <c r="J15" s="136" t="s">
        <v>265</v>
      </c>
      <c r="K15" s="75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132">
        <f t="shared" si="0"/>
        <v>2</v>
      </c>
    </row>
    <row r="16" spans="1:36" ht="45" x14ac:dyDescent="0.25">
      <c r="A16" s="135" t="s">
        <v>261</v>
      </c>
      <c r="B16" s="125" t="s">
        <v>262</v>
      </c>
      <c r="C16" s="123" t="s">
        <v>263</v>
      </c>
      <c r="D16" s="123">
        <v>100</v>
      </c>
      <c r="E16" s="123" t="s">
        <v>74</v>
      </c>
      <c r="F16" s="123" t="s">
        <v>271</v>
      </c>
      <c r="G16" s="123">
        <v>3</v>
      </c>
      <c r="H16" s="123">
        <v>300</v>
      </c>
      <c r="I16" s="152" t="s">
        <v>299</v>
      </c>
      <c r="J16" s="136" t="s">
        <v>265</v>
      </c>
      <c r="K16" s="130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2">
        <f t="shared" si="0"/>
        <v>100</v>
      </c>
    </row>
    <row r="17" spans="1:36" ht="45" x14ac:dyDescent="0.25">
      <c r="A17" s="135" t="s">
        <v>261</v>
      </c>
      <c r="B17" s="125" t="s">
        <v>262</v>
      </c>
      <c r="C17" s="123" t="s">
        <v>263</v>
      </c>
      <c r="D17" s="123">
        <v>1</v>
      </c>
      <c r="E17" s="123" t="s">
        <v>36</v>
      </c>
      <c r="F17" s="123" t="s">
        <v>75</v>
      </c>
      <c r="G17" s="123">
        <v>170</v>
      </c>
      <c r="H17" s="123">
        <v>170</v>
      </c>
      <c r="I17" s="152" t="s">
        <v>299</v>
      </c>
      <c r="J17" s="136" t="s">
        <v>265</v>
      </c>
      <c r="K17" s="75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132">
        <f t="shared" si="0"/>
        <v>1</v>
      </c>
    </row>
    <row r="18" spans="1:36" ht="60" x14ac:dyDescent="0.25">
      <c r="A18" s="135" t="s">
        <v>261</v>
      </c>
      <c r="B18" s="125" t="s">
        <v>262</v>
      </c>
      <c r="C18" s="123" t="s">
        <v>263</v>
      </c>
      <c r="D18" s="123">
        <v>16</v>
      </c>
      <c r="E18" s="123" t="s">
        <v>36</v>
      </c>
      <c r="F18" s="123" t="s">
        <v>272</v>
      </c>
      <c r="G18" s="123">
        <v>500</v>
      </c>
      <c r="H18" s="123">
        <v>8000</v>
      </c>
      <c r="I18" s="152" t="s">
        <v>299</v>
      </c>
      <c r="J18" s="136" t="s">
        <v>265</v>
      </c>
      <c r="K18" s="130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2">
        <f t="shared" si="0"/>
        <v>16</v>
      </c>
    </row>
    <row r="19" spans="1:36" ht="45" x14ac:dyDescent="0.25">
      <c r="A19" s="135" t="s">
        <v>261</v>
      </c>
      <c r="B19" s="125" t="s">
        <v>262</v>
      </c>
      <c r="C19" s="123" t="s">
        <v>263</v>
      </c>
      <c r="D19" s="123">
        <v>240</v>
      </c>
      <c r="E19" s="123" t="s">
        <v>36</v>
      </c>
      <c r="F19" s="123" t="s">
        <v>77</v>
      </c>
      <c r="G19" s="123">
        <v>70</v>
      </c>
      <c r="H19" s="123">
        <v>16800</v>
      </c>
      <c r="I19" s="126" t="s">
        <v>264</v>
      </c>
      <c r="J19" s="136" t="s">
        <v>265</v>
      </c>
      <c r="K19" s="75"/>
      <c r="L19" s="68"/>
      <c r="M19" s="68">
        <v>24</v>
      </c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132">
        <f t="shared" si="0"/>
        <v>216</v>
      </c>
    </row>
    <row r="20" spans="1:36" ht="45" x14ac:dyDescent="0.25">
      <c r="A20" s="135" t="s">
        <v>261</v>
      </c>
      <c r="B20" s="125" t="s">
        <v>262</v>
      </c>
      <c r="C20" s="123" t="s">
        <v>263</v>
      </c>
      <c r="D20" s="123">
        <v>1</v>
      </c>
      <c r="E20" s="123" t="s">
        <v>36</v>
      </c>
      <c r="F20" s="123" t="s">
        <v>273</v>
      </c>
      <c r="G20" s="123">
        <v>200</v>
      </c>
      <c r="H20" s="123">
        <v>200</v>
      </c>
      <c r="I20" s="126" t="s">
        <v>264</v>
      </c>
      <c r="J20" s="136" t="s">
        <v>265</v>
      </c>
      <c r="K20" s="130"/>
      <c r="L20" s="131"/>
      <c r="M20" s="131"/>
      <c r="N20" s="131"/>
      <c r="O20" s="131"/>
      <c r="P20" s="131"/>
      <c r="Q20" s="131"/>
      <c r="R20" s="131">
        <v>1</v>
      </c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2">
        <f t="shared" si="0"/>
        <v>0</v>
      </c>
    </row>
    <row r="21" spans="1:36" ht="60" x14ac:dyDescent="0.25">
      <c r="A21" s="135" t="s">
        <v>261</v>
      </c>
      <c r="B21" s="125" t="s">
        <v>262</v>
      </c>
      <c r="C21" s="123" t="s">
        <v>263</v>
      </c>
      <c r="D21" s="123">
        <v>4</v>
      </c>
      <c r="E21" s="123" t="s">
        <v>121</v>
      </c>
      <c r="F21" s="123" t="s">
        <v>274</v>
      </c>
      <c r="G21" s="123">
        <v>18</v>
      </c>
      <c r="H21" s="123">
        <v>72</v>
      </c>
      <c r="I21" s="126" t="s">
        <v>264</v>
      </c>
      <c r="J21" s="136" t="s">
        <v>265</v>
      </c>
      <c r="K21" s="75"/>
      <c r="L21" s="68"/>
      <c r="M21" s="68"/>
      <c r="N21" s="68">
        <v>1</v>
      </c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132">
        <f t="shared" si="0"/>
        <v>3</v>
      </c>
    </row>
    <row r="22" spans="1:36" ht="60" x14ac:dyDescent="0.25">
      <c r="A22" s="135" t="s">
        <v>261</v>
      </c>
      <c r="B22" s="125" t="s">
        <v>262</v>
      </c>
      <c r="C22" s="123" t="s">
        <v>263</v>
      </c>
      <c r="D22" s="123">
        <v>4</v>
      </c>
      <c r="E22" s="123" t="s">
        <v>121</v>
      </c>
      <c r="F22" s="123" t="s">
        <v>275</v>
      </c>
      <c r="G22" s="123">
        <v>25</v>
      </c>
      <c r="H22" s="123">
        <v>100</v>
      </c>
      <c r="I22" s="126" t="s">
        <v>264</v>
      </c>
      <c r="J22" s="136" t="s">
        <v>265</v>
      </c>
      <c r="K22" s="130"/>
      <c r="L22" s="131"/>
      <c r="M22" s="131"/>
      <c r="N22" s="131">
        <v>2</v>
      </c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2">
        <f t="shared" si="0"/>
        <v>2</v>
      </c>
    </row>
    <row r="23" spans="1:36" ht="60" x14ac:dyDescent="0.25">
      <c r="A23" s="135" t="s">
        <v>261</v>
      </c>
      <c r="B23" s="125" t="s">
        <v>262</v>
      </c>
      <c r="C23" s="123" t="s">
        <v>263</v>
      </c>
      <c r="D23" s="123">
        <v>4</v>
      </c>
      <c r="E23" s="123" t="s">
        <v>121</v>
      </c>
      <c r="F23" s="123" t="s">
        <v>276</v>
      </c>
      <c r="G23" s="123">
        <v>40</v>
      </c>
      <c r="H23" s="123">
        <v>160</v>
      </c>
      <c r="I23" s="126" t="s">
        <v>264</v>
      </c>
      <c r="J23" s="136" t="s">
        <v>265</v>
      </c>
      <c r="K23" s="75"/>
      <c r="L23" s="68"/>
      <c r="M23" s="68"/>
      <c r="N23" s="68">
        <v>2</v>
      </c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132">
        <f t="shared" si="0"/>
        <v>2</v>
      </c>
    </row>
    <row r="24" spans="1:36" ht="45" hidden="1" x14ac:dyDescent="0.25">
      <c r="A24" s="135" t="s">
        <v>261</v>
      </c>
      <c r="B24" s="125" t="s">
        <v>262</v>
      </c>
      <c r="C24" s="123" t="s">
        <v>263</v>
      </c>
      <c r="D24" s="123">
        <v>1</v>
      </c>
      <c r="E24" s="123" t="s">
        <v>36</v>
      </c>
      <c r="F24" s="123" t="s">
        <v>277</v>
      </c>
      <c r="G24" s="123">
        <v>10</v>
      </c>
      <c r="H24" s="123">
        <v>10</v>
      </c>
      <c r="I24" s="126" t="s">
        <v>264</v>
      </c>
      <c r="J24" s="136" t="s">
        <v>278</v>
      </c>
      <c r="K24" s="130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2">
        <f t="shared" si="0"/>
        <v>1</v>
      </c>
    </row>
    <row r="25" spans="1:36" ht="45" hidden="1" x14ac:dyDescent="0.25">
      <c r="A25" s="135" t="s">
        <v>261</v>
      </c>
      <c r="B25" s="125" t="s">
        <v>262</v>
      </c>
      <c r="C25" s="123" t="s">
        <v>263</v>
      </c>
      <c r="D25" s="123">
        <v>1</v>
      </c>
      <c r="E25" s="123" t="s">
        <v>36</v>
      </c>
      <c r="F25" s="123" t="s">
        <v>279</v>
      </c>
      <c r="G25" s="123">
        <v>1600</v>
      </c>
      <c r="H25" s="123">
        <v>1600</v>
      </c>
      <c r="I25" s="126" t="s">
        <v>264</v>
      </c>
      <c r="J25" s="136" t="s">
        <v>278</v>
      </c>
      <c r="K25" s="75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132">
        <f t="shared" si="0"/>
        <v>1</v>
      </c>
    </row>
    <row r="26" spans="1:36" ht="45" hidden="1" x14ac:dyDescent="0.25">
      <c r="A26" s="135" t="s">
        <v>261</v>
      </c>
      <c r="B26" s="125" t="s">
        <v>262</v>
      </c>
      <c r="C26" s="123" t="s">
        <v>263</v>
      </c>
      <c r="D26" s="123">
        <v>1</v>
      </c>
      <c r="E26" s="123" t="s">
        <v>36</v>
      </c>
      <c r="F26" s="123" t="s">
        <v>280</v>
      </c>
      <c r="G26" s="123">
        <v>150</v>
      </c>
      <c r="H26" s="123">
        <v>150</v>
      </c>
      <c r="I26" s="126" t="s">
        <v>264</v>
      </c>
      <c r="J26" s="136" t="s">
        <v>278</v>
      </c>
      <c r="K26" s="130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2">
        <f t="shared" si="0"/>
        <v>1</v>
      </c>
    </row>
    <row r="27" spans="1:36" ht="45" hidden="1" x14ac:dyDescent="0.25">
      <c r="A27" s="135" t="s">
        <v>261</v>
      </c>
      <c r="B27" s="125" t="s">
        <v>262</v>
      </c>
      <c r="C27" s="123" t="s">
        <v>263</v>
      </c>
      <c r="D27" s="123">
        <v>1</v>
      </c>
      <c r="E27" s="123" t="s">
        <v>36</v>
      </c>
      <c r="F27" s="123" t="s">
        <v>281</v>
      </c>
      <c r="G27" s="123">
        <v>400</v>
      </c>
      <c r="H27" s="123">
        <v>400</v>
      </c>
      <c r="I27" s="126" t="s">
        <v>264</v>
      </c>
      <c r="J27" s="136" t="s">
        <v>278</v>
      </c>
      <c r="K27" s="75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132">
        <f t="shared" si="0"/>
        <v>1</v>
      </c>
    </row>
    <row r="28" spans="1:36" ht="45" x14ac:dyDescent="0.25">
      <c r="A28" s="135" t="s">
        <v>261</v>
      </c>
      <c r="B28" s="125" t="s">
        <v>262</v>
      </c>
      <c r="C28" s="123" t="s">
        <v>263</v>
      </c>
      <c r="D28" s="123">
        <v>5</v>
      </c>
      <c r="E28" s="123" t="s">
        <v>36</v>
      </c>
      <c r="F28" s="123" t="s">
        <v>282</v>
      </c>
      <c r="G28" s="123">
        <v>16</v>
      </c>
      <c r="H28" s="123">
        <v>80</v>
      </c>
      <c r="I28" s="126" t="s">
        <v>264</v>
      </c>
      <c r="J28" s="136" t="s">
        <v>265</v>
      </c>
      <c r="K28" s="130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2">
        <f t="shared" si="0"/>
        <v>5</v>
      </c>
    </row>
    <row r="29" spans="1:36" ht="60" hidden="1" x14ac:dyDescent="0.25">
      <c r="A29" s="135" t="s">
        <v>261</v>
      </c>
      <c r="B29" s="125" t="s">
        <v>262</v>
      </c>
      <c r="C29" s="123" t="s">
        <v>263</v>
      </c>
      <c r="D29" s="123">
        <v>2</v>
      </c>
      <c r="E29" s="123" t="s">
        <v>36</v>
      </c>
      <c r="F29" s="123" t="s">
        <v>283</v>
      </c>
      <c r="G29" s="123">
        <v>430</v>
      </c>
      <c r="H29" s="123">
        <v>860</v>
      </c>
      <c r="I29" s="126" t="s">
        <v>264</v>
      </c>
      <c r="J29" s="136" t="s">
        <v>284</v>
      </c>
      <c r="K29" s="75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132">
        <f t="shared" si="0"/>
        <v>2</v>
      </c>
    </row>
    <row r="30" spans="1:36" ht="60" hidden="1" x14ac:dyDescent="0.25">
      <c r="A30" s="135" t="s">
        <v>261</v>
      </c>
      <c r="B30" s="125" t="s">
        <v>262</v>
      </c>
      <c r="C30" s="123" t="s">
        <v>263</v>
      </c>
      <c r="D30" s="123">
        <v>5</v>
      </c>
      <c r="E30" s="123" t="s">
        <v>36</v>
      </c>
      <c r="F30" s="123" t="s">
        <v>285</v>
      </c>
      <c r="G30" s="123">
        <v>1700</v>
      </c>
      <c r="H30" s="123">
        <v>8500</v>
      </c>
      <c r="I30" s="126" t="s">
        <v>264</v>
      </c>
      <c r="J30" s="136" t="s">
        <v>284</v>
      </c>
      <c r="K30" s="130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2">
        <f t="shared" si="0"/>
        <v>5</v>
      </c>
    </row>
    <row r="31" spans="1:36" ht="45" hidden="1" x14ac:dyDescent="0.25">
      <c r="A31" s="135" t="s">
        <v>261</v>
      </c>
      <c r="B31" s="125" t="s">
        <v>262</v>
      </c>
      <c r="C31" s="123" t="s">
        <v>263</v>
      </c>
      <c r="D31" s="123">
        <v>5</v>
      </c>
      <c r="E31" s="123" t="s">
        <v>36</v>
      </c>
      <c r="F31" s="123" t="s">
        <v>286</v>
      </c>
      <c r="G31" s="123">
        <v>25</v>
      </c>
      <c r="H31" s="123">
        <v>125</v>
      </c>
      <c r="I31" s="126" t="s">
        <v>264</v>
      </c>
      <c r="J31" s="136" t="s">
        <v>284</v>
      </c>
      <c r="K31" s="75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132">
        <f t="shared" si="0"/>
        <v>5</v>
      </c>
    </row>
    <row r="32" spans="1:36" ht="45" hidden="1" x14ac:dyDescent="0.25">
      <c r="A32" s="135" t="s">
        <v>261</v>
      </c>
      <c r="B32" s="125" t="s">
        <v>262</v>
      </c>
      <c r="C32" s="123" t="s">
        <v>263</v>
      </c>
      <c r="D32" s="123">
        <v>4</v>
      </c>
      <c r="E32" s="123" t="s">
        <v>36</v>
      </c>
      <c r="F32" s="123" t="s">
        <v>287</v>
      </c>
      <c r="G32" s="123">
        <v>80</v>
      </c>
      <c r="H32" s="123">
        <v>320</v>
      </c>
      <c r="I32" s="126" t="s">
        <v>264</v>
      </c>
      <c r="J32" s="136" t="s">
        <v>284</v>
      </c>
      <c r="K32" s="130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2">
        <f t="shared" si="0"/>
        <v>4</v>
      </c>
    </row>
    <row r="33" spans="1:36" ht="45" hidden="1" x14ac:dyDescent="0.25">
      <c r="A33" s="135" t="s">
        <v>261</v>
      </c>
      <c r="B33" s="125" t="s">
        <v>262</v>
      </c>
      <c r="C33" s="123" t="s">
        <v>263</v>
      </c>
      <c r="D33" s="123">
        <v>1</v>
      </c>
      <c r="E33" s="123" t="s">
        <v>36</v>
      </c>
      <c r="F33" s="123" t="s">
        <v>288</v>
      </c>
      <c r="G33" s="123">
        <v>150</v>
      </c>
      <c r="H33" s="123">
        <v>150</v>
      </c>
      <c r="I33" s="126" t="s">
        <v>264</v>
      </c>
      <c r="J33" s="136" t="s">
        <v>284</v>
      </c>
      <c r="K33" s="75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132">
        <f t="shared" si="0"/>
        <v>1</v>
      </c>
    </row>
    <row r="34" spans="1:36" ht="45" hidden="1" x14ac:dyDescent="0.25">
      <c r="A34" s="135" t="s">
        <v>261</v>
      </c>
      <c r="B34" s="125" t="s">
        <v>262</v>
      </c>
      <c r="C34" s="123" t="s">
        <v>263</v>
      </c>
      <c r="D34" s="123">
        <v>18</v>
      </c>
      <c r="E34" s="123" t="s">
        <v>36</v>
      </c>
      <c r="F34" s="123" t="s">
        <v>289</v>
      </c>
      <c r="G34" s="123">
        <v>160</v>
      </c>
      <c r="H34" s="123">
        <v>2880</v>
      </c>
      <c r="I34" s="126" t="s">
        <v>264</v>
      </c>
      <c r="J34" s="136" t="s">
        <v>284</v>
      </c>
      <c r="K34" s="130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2">
        <f t="shared" si="0"/>
        <v>18</v>
      </c>
    </row>
    <row r="35" spans="1:36" ht="45" hidden="1" x14ac:dyDescent="0.25">
      <c r="A35" s="135" t="s">
        <v>261</v>
      </c>
      <c r="B35" s="125" t="s">
        <v>262</v>
      </c>
      <c r="C35" s="123" t="s">
        <v>263</v>
      </c>
      <c r="D35" s="123">
        <v>5</v>
      </c>
      <c r="E35" s="123" t="s">
        <v>36</v>
      </c>
      <c r="F35" s="123" t="s">
        <v>290</v>
      </c>
      <c r="G35" s="123">
        <v>15</v>
      </c>
      <c r="H35" s="123">
        <v>75</v>
      </c>
      <c r="I35" s="126" t="s">
        <v>264</v>
      </c>
      <c r="J35" s="136" t="s">
        <v>284</v>
      </c>
      <c r="K35" s="75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132">
        <f t="shared" si="0"/>
        <v>5</v>
      </c>
    </row>
    <row r="36" spans="1:36" ht="75" hidden="1" x14ac:dyDescent="0.25">
      <c r="A36" s="135" t="s">
        <v>261</v>
      </c>
      <c r="B36" s="125" t="s">
        <v>262</v>
      </c>
      <c r="C36" s="123" t="s">
        <v>263</v>
      </c>
      <c r="D36" s="123">
        <v>8</v>
      </c>
      <c r="E36" s="123" t="s">
        <v>36</v>
      </c>
      <c r="F36" s="123" t="s">
        <v>291</v>
      </c>
      <c r="G36" s="123">
        <v>55</v>
      </c>
      <c r="H36" s="123">
        <v>440</v>
      </c>
      <c r="I36" s="126" t="s">
        <v>264</v>
      </c>
      <c r="J36" s="136" t="s">
        <v>292</v>
      </c>
      <c r="K36" s="158">
        <v>8</v>
      </c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2">
        <f t="shared" si="0"/>
        <v>0</v>
      </c>
    </row>
    <row r="37" spans="1:36" ht="60" hidden="1" x14ac:dyDescent="0.25">
      <c r="A37" s="135" t="s">
        <v>261</v>
      </c>
      <c r="B37" s="125" t="s">
        <v>262</v>
      </c>
      <c r="C37" s="123" t="s">
        <v>263</v>
      </c>
      <c r="D37" s="123">
        <v>5</v>
      </c>
      <c r="E37" s="123" t="s">
        <v>36</v>
      </c>
      <c r="F37" s="123" t="s">
        <v>293</v>
      </c>
      <c r="G37" s="123">
        <v>40</v>
      </c>
      <c r="H37" s="123">
        <v>200</v>
      </c>
      <c r="I37" s="126" t="s">
        <v>264</v>
      </c>
      <c r="J37" s="136" t="s">
        <v>292</v>
      </c>
      <c r="K37" s="158">
        <v>5</v>
      </c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132">
        <f t="shared" si="0"/>
        <v>0</v>
      </c>
    </row>
    <row r="38" spans="1:36" ht="60" hidden="1" x14ac:dyDescent="0.25">
      <c r="A38" s="135" t="s">
        <v>261</v>
      </c>
      <c r="B38" s="125" t="s">
        <v>262</v>
      </c>
      <c r="C38" s="123" t="s">
        <v>263</v>
      </c>
      <c r="D38" s="123">
        <v>1</v>
      </c>
      <c r="E38" s="123" t="s">
        <v>36</v>
      </c>
      <c r="F38" s="123" t="s">
        <v>294</v>
      </c>
      <c r="G38" s="123">
        <v>75</v>
      </c>
      <c r="H38" s="123">
        <v>75</v>
      </c>
      <c r="I38" s="126" t="s">
        <v>264</v>
      </c>
      <c r="J38" s="136" t="s">
        <v>292</v>
      </c>
      <c r="K38" s="158">
        <v>1</v>
      </c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2">
        <f t="shared" si="0"/>
        <v>0</v>
      </c>
    </row>
    <row r="39" spans="1:36" ht="60" hidden="1" x14ac:dyDescent="0.25">
      <c r="A39" s="135" t="s">
        <v>261</v>
      </c>
      <c r="B39" s="125" t="s">
        <v>262</v>
      </c>
      <c r="C39" s="123" t="s">
        <v>263</v>
      </c>
      <c r="D39" s="123">
        <v>3</v>
      </c>
      <c r="E39" s="123" t="s">
        <v>36</v>
      </c>
      <c r="F39" s="123" t="s">
        <v>295</v>
      </c>
      <c r="G39" s="123">
        <v>75</v>
      </c>
      <c r="H39" s="123">
        <v>225</v>
      </c>
      <c r="I39" s="126" t="s">
        <v>264</v>
      </c>
      <c r="J39" s="136" t="s">
        <v>292</v>
      </c>
      <c r="K39" s="158">
        <v>3</v>
      </c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132">
        <f t="shared" si="0"/>
        <v>0</v>
      </c>
    </row>
    <row r="40" spans="1:36" ht="60" hidden="1" x14ac:dyDescent="0.25">
      <c r="A40" s="135" t="s">
        <v>261</v>
      </c>
      <c r="B40" s="125" t="s">
        <v>262</v>
      </c>
      <c r="C40" s="123" t="s">
        <v>263</v>
      </c>
      <c r="D40" s="123">
        <v>4</v>
      </c>
      <c r="E40" s="123" t="s">
        <v>36</v>
      </c>
      <c r="F40" s="123" t="s">
        <v>296</v>
      </c>
      <c r="G40" s="123">
        <v>75</v>
      </c>
      <c r="H40" s="123">
        <v>300</v>
      </c>
      <c r="I40" s="126" t="s">
        <v>264</v>
      </c>
      <c r="J40" s="136" t="s">
        <v>292</v>
      </c>
      <c r="K40" s="158">
        <v>4</v>
      </c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2">
        <f t="shared" si="0"/>
        <v>0</v>
      </c>
    </row>
    <row r="41" spans="1:36" ht="60" hidden="1" x14ac:dyDescent="0.25">
      <c r="A41" s="135" t="s">
        <v>261</v>
      </c>
      <c r="B41" s="125" t="s">
        <v>262</v>
      </c>
      <c r="C41" s="123" t="s">
        <v>263</v>
      </c>
      <c r="D41" s="123">
        <v>2</v>
      </c>
      <c r="E41" s="123" t="s">
        <v>36</v>
      </c>
      <c r="F41" s="123" t="s">
        <v>297</v>
      </c>
      <c r="G41" s="123">
        <v>40</v>
      </c>
      <c r="H41" s="123">
        <v>80</v>
      </c>
      <c r="I41" s="126" t="s">
        <v>264</v>
      </c>
      <c r="J41" s="136" t="s">
        <v>292</v>
      </c>
      <c r="K41" s="158">
        <v>2</v>
      </c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132">
        <f t="shared" si="0"/>
        <v>0</v>
      </c>
    </row>
    <row r="42" spans="1:36" ht="60" hidden="1" x14ac:dyDescent="0.25">
      <c r="A42" s="135" t="s">
        <v>261</v>
      </c>
      <c r="B42" s="125" t="s">
        <v>262</v>
      </c>
      <c r="C42" s="123" t="s">
        <v>263</v>
      </c>
      <c r="D42" s="123">
        <v>2</v>
      </c>
      <c r="E42" s="123" t="s">
        <v>36</v>
      </c>
      <c r="F42" s="123" t="s">
        <v>298</v>
      </c>
      <c r="G42" s="123">
        <v>40</v>
      </c>
      <c r="H42" s="123">
        <v>80</v>
      </c>
      <c r="I42" s="126" t="s">
        <v>264</v>
      </c>
      <c r="J42" s="136" t="s">
        <v>292</v>
      </c>
      <c r="K42" s="158">
        <v>2</v>
      </c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2">
        <f t="shared" si="0"/>
        <v>0</v>
      </c>
    </row>
    <row r="43" spans="1:36" ht="45" hidden="1" x14ac:dyDescent="0.25">
      <c r="A43" s="135" t="s">
        <v>261</v>
      </c>
      <c r="B43" s="125" t="s">
        <v>262</v>
      </c>
      <c r="C43" s="123" t="s">
        <v>263</v>
      </c>
      <c r="D43" s="123">
        <v>1</v>
      </c>
      <c r="E43" s="123" t="s">
        <v>36</v>
      </c>
      <c r="F43" s="123" t="s">
        <v>197</v>
      </c>
      <c r="G43" s="123">
        <v>48</v>
      </c>
      <c r="H43" s="123">
        <v>48</v>
      </c>
      <c r="I43" s="126" t="s">
        <v>299</v>
      </c>
      <c r="J43" s="136" t="s">
        <v>300</v>
      </c>
      <c r="K43" s="158">
        <v>1</v>
      </c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132">
        <f t="shared" si="0"/>
        <v>0</v>
      </c>
    </row>
    <row r="44" spans="1:36" ht="45" hidden="1" x14ac:dyDescent="0.25">
      <c r="A44" s="135" t="s">
        <v>261</v>
      </c>
      <c r="B44" s="125" t="s">
        <v>262</v>
      </c>
      <c r="C44" s="123" t="s">
        <v>263</v>
      </c>
      <c r="D44" s="123">
        <v>3</v>
      </c>
      <c r="E44" s="123" t="s">
        <v>36</v>
      </c>
      <c r="F44" s="123" t="s">
        <v>198</v>
      </c>
      <c r="G44" s="123">
        <v>8</v>
      </c>
      <c r="H44" s="123">
        <v>24</v>
      </c>
      <c r="I44" s="126" t="s">
        <v>299</v>
      </c>
      <c r="J44" s="136" t="s">
        <v>300</v>
      </c>
      <c r="K44" s="158">
        <v>3</v>
      </c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2">
        <f t="shared" si="0"/>
        <v>0</v>
      </c>
    </row>
    <row r="45" spans="1:36" ht="45" hidden="1" x14ac:dyDescent="0.25">
      <c r="A45" s="135" t="s">
        <v>261</v>
      </c>
      <c r="B45" s="125" t="s">
        <v>262</v>
      </c>
      <c r="C45" s="123" t="s">
        <v>263</v>
      </c>
      <c r="D45" s="123">
        <v>1</v>
      </c>
      <c r="E45" s="123" t="s">
        <v>36</v>
      </c>
      <c r="F45" s="123" t="s">
        <v>301</v>
      </c>
      <c r="G45" s="123">
        <v>8.5</v>
      </c>
      <c r="H45" s="123">
        <v>8.5</v>
      </c>
      <c r="I45" s="126" t="s">
        <v>299</v>
      </c>
      <c r="J45" s="136" t="s">
        <v>300</v>
      </c>
      <c r="K45" s="158">
        <v>1</v>
      </c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132">
        <f t="shared" si="0"/>
        <v>0</v>
      </c>
    </row>
    <row r="46" spans="1:36" ht="45" hidden="1" x14ac:dyDescent="0.25">
      <c r="A46" s="135" t="s">
        <v>261</v>
      </c>
      <c r="B46" s="125" t="s">
        <v>262</v>
      </c>
      <c r="C46" s="123" t="s">
        <v>263</v>
      </c>
      <c r="D46" s="123">
        <v>15</v>
      </c>
      <c r="E46" s="123" t="s">
        <v>36</v>
      </c>
      <c r="F46" s="123" t="s">
        <v>90</v>
      </c>
      <c r="G46" s="123">
        <v>4</v>
      </c>
      <c r="H46" s="123">
        <v>60</v>
      </c>
      <c r="I46" s="126" t="s">
        <v>299</v>
      </c>
      <c r="J46" s="136" t="s">
        <v>300</v>
      </c>
      <c r="K46" s="158">
        <v>15</v>
      </c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2">
        <f t="shared" si="0"/>
        <v>0</v>
      </c>
    </row>
    <row r="47" spans="1:36" ht="45" hidden="1" x14ac:dyDescent="0.25">
      <c r="A47" s="135" t="s">
        <v>261</v>
      </c>
      <c r="B47" s="125" t="s">
        <v>262</v>
      </c>
      <c r="C47" s="123" t="s">
        <v>263</v>
      </c>
      <c r="D47" s="123">
        <v>50</v>
      </c>
      <c r="E47" s="123" t="s">
        <v>36</v>
      </c>
      <c r="F47" s="123" t="s">
        <v>92</v>
      </c>
      <c r="G47" s="123">
        <v>2</v>
      </c>
      <c r="H47" s="123">
        <v>100</v>
      </c>
      <c r="I47" s="126" t="s">
        <v>299</v>
      </c>
      <c r="J47" s="136" t="s">
        <v>300</v>
      </c>
      <c r="K47" s="158">
        <v>50</v>
      </c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132">
        <f t="shared" si="0"/>
        <v>0</v>
      </c>
    </row>
    <row r="48" spans="1:36" ht="45" hidden="1" x14ac:dyDescent="0.25">
      <c r="A48" s="135" t="s">
        <v>261</v>
      </c>
      <c r="B48" s="125" t="s">
        <v>262</v>
      </c>
      <c r="C48" s="123" t="s">
        <v>263</v>
      </c>
      <c r="D48" s="123">
        <v>2</v>
      </c>
      <c r="E48" s="123" t="s">
        <v>36</v>
      </c>
      <c r="F48" s="123" t="s">
        <v>94</v>
      </c>
      <c r="G48" s="123">
        <v>25</v>
      </c>
      <c r="H48" s="123">
        <v>50</v>
      </c>
      <c r="I48" s="126" t="s">
        <v>299</v>
      </c>
      <c r="J48" s="136" t="s">
        <v>300</v>
      </c>
      <c r="K48" s="158">
        <v>2</v>
      </c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2">
        <f t="shared" si="0"/>
        <v>0</v>
      </c>
    </row>
    <row r="49" spans="1:36" ht="45" hidden="1" x14ac:dyDescent="0.25">
      <c r="A49" s="135" t="s">
        <v>261</v>
      </c>
      <c r="B49" s="125" t="s">
        <v>262</v>
      </c>
      <c r="C49" s="123" t="s">
        <v>263</v>
      </c>
      <c r="D49" s="123">
        <v>1</v>
      </c>
      <c r="E49" s="123" t="s">
        <v>36</v>
      </c>
      <c r="F49" s="123" t="s">
        <v>199</v>
      </c>
      <c r="G49" s="123">
        <v>50</v>
      </c>
      <c r="H49" s="123">
        <v>50</v>
      </c>
      <c r="I49" s="126" t="s">
        <v>299</v>
      </c>
      <c r="J49" s="136" t="s">
        <v>300</v>
      </c>
      <c r="K49" s="158">
        <v>1</v>
      </c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132">
        <f t="shared" si="0"/>
        <v>0</v>
      </c>
    </row>
    <row r="50" spans="1:36" ht="45" hidden="1" x14ac:dyDescent="0.25">
      <c r="A50" s="135" t="s">
        <v>261</v>
      </c>
      <c r="B50" s="125" t="s">
        <v>262</v>
      </c>
      <c r="C50" s="123" t="s">
        <v>263</v>
      </c>
      <c r="D50" s="123">
        <v>10</v>
      </c>
      <c r="E50" s="123" t="s">
        <v>36</v>
      </c>
      <c r="F50" s="123" t="s">
        <v>95</v>
      </c>
      <c r="G50" s="123">
        <v>0.5</v>
      </c>
      <c r="H50" s="123">
        <v>5</v>
      </c>
      <c r="I50" s="126" t="s">
        <v>299</v>
      </c>
      <c r="J50" s="136" t="s">
        <v>300</v>
      </c>
      <c r="K50" s="158">
        <v>10</v>
      </c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2">
        <f t="shared" si="0"/>
        <v>0</v>
      </c>
    </row>
    <row r="51" spans="1:36" ht="45" hidden="1" x14ac:dyDescent="0.25">
      <c r="A51" s="135" t="s">
        <v>261</v>
      </c>
      <c r="B51" s="125" t="s">
        <v>262</v>
      </c>
      <c r="C51" s="123" t="s">
        <v>263</v>
      </c>
      <c r="D51" s="123">
        <v>20</v>
      </c>
      <c r="E51" s="123" t="s">
        <v>36</v>
      </c>
      <c r="F51" s="123" t="s">
        <v>96</v>
      </c>
      <c r="G51" s="123">
        <v>1</v>
      </c>
      <c r="H51" s="123">
        <v>20</v>
      </c>
      <c r="I51" s="126" t="s">
        <v>299</v>
      </c>
      <c r="J51" s="136" t="s">
        <v>300</v>
      </c>
      <c r="K51" s="158">
        <v>20</v>
      </c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132">
        <f t="shared" si="0"/>
        <v>0</v>
      </c>
    </row>
    <row r="52" spans="1:36" ht="45" hidden="1" x14ac:dyDescent="0.25">
      <c r="A52" s="135" t="s">
        <v>261</v>
      </c>
      <c r="B52" s="125" t="s">
        <v>262</v>
      </c>
      <c r="C52" s="123" t="s">
        <v>263</v>
      </c>
      <c r="D52" s="123">
        <v>1</v>
      </c>
      <c r="E52" s="123" t="s">
        <v>36</v>
      </c>
      <c r="F52" s="123" t="s">
        <v>302</v>
      </c>
      <c r="G52" s="123">
        <v>30</v>
      </c>
      <c r="H52" s="123">
        <v>30</v>
      </c>
      <c r="I52" s="126" t="s">
        <v>299</v>
      </c>
      <c r="J52" s="136" t="s">
        <v>300</v>
      </c>
      <c r="K52" s="158">
        <v>1</v>
      </c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2">
        <f t="shared" si="0"/>
        <v>0</v>
      </c>
    </row>
    <row r="53" spans="1:36" ht="45" hidden="1" x14ac:dyDescent="0.25">
      <c r="A53" s="135" t="s">
        <v>261</v>
      </c>
      <c r="B53" s="125" t="s">
        <v>262</v>
      </c>
      <c r="C53" s="123" t="s">
        <v>263</v>
      </c>
      <c r="D53" s="123">
        <v>1</v>
      </c>
      <c r="E53" s="123" t="s">
        <v>36</v>
      </c>
      <c r="F53" s="123" t="s">
        <v>98</v>
      </c>
      <c r="G53" s="123">
        <v>50</v>
      </c>
      <c r="H53" s="123">
        <v>50</v>
      </c>
      <c r="I53" s="126" t="s">
        <v>299</v>
      </c>
      <c r="J53" s="136" t="s">
        <v>300</v>
      </c>
      <c r="K53" s="158">
        <v>1</v>
      </c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132">
        <f t="shared" si="0"/>
        <v>0</v>
      </c>
    </row>
    <row r="54" spans="1:36" ht="45" hidden="1" x14ac:dyDescent="0.25">
      <c r="A54" s="135" t="s">
        <v>261</v>
      </c>
      <c r="B54" s="125" t="s">
        <v>262</v>
      </c>
      <c r="C54" s="123" t="s">
        <v>263</v>
      </c>
      <c r="D54" s="123">
        <v>8</v>
      </c>
      <c r="E54" s="123" t="s">
        <v>100</v>
      </c>
      <c r="F54" s="123" t="s">
        <v>99</v>
      </c>
      <c r="G54" s="123">
        <v>0.8</v>
      </c>
      <c r="H54" s="123">
        <v>6.4</v>
      </c>
      <c r="I54" s="126" t="s">
        <v>299</v>
      </c>
      <c r="J54" s="136" t="s">
        <v>300</v>
      </c>
      <c r="K54" s="158">
        <v>8</v>
      </c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2">
        <f t="shared" si="0"/>
        <v>0</v>
      </c>
    </row>
    <row r="55" spans="1:36" ht="45" hidden="1" x14ac:dyDescent="0.25">
      <c r="A55" s="135" t="s">
        <v>261</v>
      </c>
      <c r="B55" s="125" t="s">
        <v>262</v>
      </c>
      <c r="C55" s="123" t="s">
        <v>263</v>
      </c>
      <c r="D55" s="123">
        <v>20</v>
      </c>
      <c r="E55" s="123" t="s">
        <v>36</v>
      </c>
      <c r="F55" s="123" t="s">
        <v>101</v>
      </c>
      <c r="G55" s="123">
        <v>1</v>
      </c>
      <c r="H55" s="123">
        <v>20</v>
      </c>
      <c r="I55" s="126" t="s">
        <v>299</v>
      </c>
      <c r="J55" s="136" t="s">
        <v>300</v>
      </c>
      <c r="K55" s="158">
        <v>20</v>
      </c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132">
        <f t="shared" si="0"/>
        <v>0</v>
      </c>
    </row>
    <row r="56" spans="1:36" ht="45" hidden="1" x14ac:dyDescent="0.25">
      <c r="A56" s="135" t="s">
        <v>261</v>
      </c>
      <c r="B56" s="125" t="s">
        <v>262</v>
      </c>
      <c r="C56" s="123" t="s">
        <v>263</v>
      </c>
      <c r="D56" s="123">
        <v>2</v>
      </c>
      <c r="E56" s="123" t="s">
        <v>36</v>
      </c>
      <c r="F56" s="123" t="s">
        <v>303</v>
      </c>
      <c r="G56" s="123">
        <v>22</v>
      </c>
      <c r="H56" s="123">
        <v>44</v>
      </c>
      <c r="I56" s="126" t="s">
        <v>299</v>
      </c>
      <c r="J56" s="136" t="s">
        <v>300</v>
      </c>
      <c r="K56" s="158">
        <v>2</v>
      </c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2">
        <f t="shared" si="0"/>
        <v>0</v>
      </c>
    </row>
    <row r="57" spans="1:36" ht="45" hidden="1" x14ac:dyDescent="0.25">
      <c r="A57" s="135" t="s">
        <v>261</v>
      </c>
      <c r="B57" s="125" t="s">
        <v>262</v>
      </c>
      <c r="C57" s="123" t="s">
        <v>263</v>
      </c>
      <c r="D57" s="123">
        <v>2</v>
      </c>
      <c r="E57" s="123" t="s">
        <v>36</v>
      </c>
      <c r="F57" s="123" t="s">
        <v>304</v>
      </c>
      <c r="G57" s="123">
        <v>38</v>
      </c>
      <c r="H57" s="123">
        <v>76</v>
      </c>
      <c r="I57" s="126" t="s">
        <v>299</v>
      </c>
      <c r="J57" s="136" t="s">
        <v>300</v>
      </c>
      <c r="K57" s="158">
        <v>2</v>
      </c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132">
        <f t="shared" si="0"/>
        <v>0</v>
      </c>
    </row>
    <row r="58" spans="1:36" ht="45" hidden="1" x14ac:dyDescent="0.25">
      <c r="A58" s="135" t="s">
        <v>261</v>
      </c>
      <c r="B58" s="125" t="s">
        <v>262</v>
      </c>
      <c r="C58" s="123" t="s">
        <v>263</v>
      </c>
      <c r="D58" s="123">
        <v>30</v>
      </c>
      <c r="E58" s="123" t="s">
        <v>36</v>
      </c>
      <c r="F58" s="123" t="s">
        <v>106</v>
      </c>
      <c r="G58" s="123">
        <v>0.8</v>
      </c>
      <c r="H58" s="123">
        <v>24</v>
      </c>
      <c r="I58" s="126" t="s">
        <v>299</v>
      </c>
      <c r="J58" s="136" t="s">
        <v>300</v>
      </c>
      <c r="K58" s="158">
        <v>30</v>
      </c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2">
        <f t="shared" si="0"/>
        <v>0</v>
      </c>
    </row>
    <row r="59" spans="1:36" ht="45" hidden="1" x14ac:dyDescent="0.25">
      <c r="A59" s="135" t="s">
        <v>261</v>
      </c>
      <c r="B59" s="125" t="s">
        <v>262</v>
      </c>
      <c r="C59" s="123" t="s">
        <v>263</v>
      </c>
      <c r="D59" s="123">
        <v>1</v>
      </c>
      <c r="E59" s="123" t="s">
        <v>36</v>
      </c>
      <c r="F59" s="123" t="s">
        <v>107</v>
      </c>
      <c r="G59" s="123">
        <v>12</v>
      </c>
      <c r="H59" s="123">
        <v>12</v>
      </c>
      <c r="I59" s="126" t="s">
        <v>299</v>
      </c>
      <c r="J59" s="136" t="s">
        <v>300</v>
      </c>
      <c r="K59" s="158">
        <v>1</v>
      </c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132">
        <f t="shared" si="0"/>
        <v>0</v>
      </c>
    </row>
    <row r="60" spans="1:36" ht="60" hidden="1" x14ac:dyDescent="0.25">
      <c r="A60" s="135" t="s">
        <v>261</v>
      </c>
      <c r="B60" s="125" t="s">
        <v>262</v>
      </c>
      <c r="C60" s="123" t="s">
        <v>263</v>
      </c>
      <c r="D60" s="123">
        <v>1</v>
      </c>
      <c r="E60" s="123" t="s">
        <v>36</v>
      </c>
      <c r="F60" s="123" t="s">
        <v>109</v>
      </c>
      <c r="G60" s="123">
        <v>74</v>
      </c>
      <c r="H60" s="123">
        <v>74</v>
      </c>
      <c r="I60" s="126" t="s">
        <v>299</v>
      </c>
      <c r="J60" s="136" t="s">
        <v>300</v>
      </c>
      <c r="K60" s="158">
        <v>1</v>
      </c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2">
        <f t="shared" si="0"/>
        <v>0</v>
      </c>
    </row>
    <row r="61" spans="1:36" ht="45" hidden="1" x14ac:dyDescent="0.25">
      <c r="A61" s="135" t="s">
        <v>261</v>
      </c>
      <c r="B61" s="125" t="s">
        <v>262</v>
      </c>
      <c r="C61" s="123" t="s">
        <v>263</v>
      </c>
      <c r="D61" s="123">
        <v>2</v>
      </c>
      <c r="E61" s="123" t="s">
        <v>36</v>
      </c>
      <c r="F61" s="123" t="s">
        <v>200</v>
      </c>
      <c r="G61" s="123">
        <v>10</v>
      </c>
      <c r="H61" s="123">
        <v>20</v>
      </c>
      <c r="I61" s="126" t="s">
        <v>299</v>
      </c>
      <c r="J61" s="136" t="s">
        <v>300</v>
      </c>
      <c r="K61" s="158">
        <v>2</v>
      </c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132">
        <f t="shared" si="0"/>
        <v>0</v>
      </c>
    </row>
    <row r="62" spans="1:36" ht="45" hidden="1" x14ac:dyDescent="0.25">
      <c r="A62" s="135" t="s">
        <v>261</v>
      </c>
      <c r="B62" s="125" t="s">
        <v>262</v>
      </c>
      <c r="C62" s="123" t="s">
        <v>263</v>
      </c>
      <c r="D62" s="123">
        <v>2</v>
      </c>
      <c r="E62" s="123" t="s">
        <v>36</v>
      </c>
      <c r="F62" s="123" t="s">
        <v>201</v>
      </c>
      <c r="G62" s="123">
        <v>6</v>
      </c>
      <c r="H62" s="123">
        <v>12</v>
      </c>
      <c r="I62" s="126" t="s">
        <v>299</v>
      </c>
      <c r="J62" s="136" t="s">
        <v>300</v>
      </c>
      <c r="K62" s="158">
        <v>2</v>
      </c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2">
        <f t="shared" si="0"/>
        <v>0</v>
      </c>
    </row>
    <row r="63" spans="1:36" ht="45" hidden="1" x14ac:dyDescent="0.25">
      <c r="A63" s="135" t="s">
        <v>261</v>
      </c>
      <c r="B63" s="125" t="s">
        <v>262</v>
      </c>
      <c r="C63" s="123" t="s">
        <v>263</v>
      </c>
      <c r="D63" s="123">
        <v>2</v>
      </c>
      <c r="E63" s="123" t="s">
        <v>100</v>
      </c>
      <c r="F63" s="123" t="s">
        <v>112</v>
      </c>
      <c r="G63" s="123">
        <v>50</v>
      </c>
      <c r="H63" s="123">
        <v>100</v>
      </c>
      <c r="I63" s="126" t="s">
        <v>299</v>
      </c>
      <c r="J63" s="136" t="s">
        <v>300</v>
      </c>
      <c r="K63" s="158">
        <v>2</v>
      </c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132">
        <f t="shared" si="0"/>
        <v>0</v>
      </c>
    </row>
    <row r="64" spans="1:36" ht="45" hidden="1" x14ac:dyDescent="0.25">
      <c r="A64" s="135" t="s">
        <v>261</v>
      </c>
      <c r="B64" s="125" t="s">
        <v>262</v>
      </c>
      <c r="C64" s="123" t="s">
        <v>263</v>
      </c>
      <c r="D64" s="123">
        <v>1</v>
      </c>
      <c r="E64" s="123" t="s">
        <v>100</v>
      </c>
      <c r="F64" s="123" t="s">
        <v>113</v>
      </c>
      <c r="G64" s="123">
        <v>50</v>
      </c>
      <c r="H64" s="123">
        <v>50</v>
      </c>
      <c r="I64" s="126" t="s">
        <v>299</v>
      </c>
      <c r="J64" s="136" t="s">
        <v>300</v>
      </c>
      <c r="K64" s="158">
        <v>1</v>
      </c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2">
        <f t="shared" si="0"/>
        <v>0</v>
      </c>
    </row>
    <row r="65" spans="1:36" ht="45" hidden="1" x14ac:dyDescent="0.25">
      <c r="A65" s="135" t="s">
        <v>261</v>
      </c>
      <c r="B65" s="125" t="s">
        <v>262</v>
      </c>
      <c r="C65" s="123" t="s">
        <v>263</v>
      </c>
      <c r="D65" s="123">
        <v>1</v>
      </c>
      <c r="E65" s="123" t="s">
        <v>100</v>
      </c>
      <c r="F65" s="123" t="s">
        <v>114</v>
      </c>
      <c r="G65" s="123">
        <v>60</v>
      </c>
      <c r="H65" s="123">
        <v>60</v>
      </c>
      <c r="I65" s="126" t="s">
        <v>299</v>
      </c>
      <c r="J65" s="136" t="s">
        <v>300</v>
      </c>
      <c r="K65" s="158">
        <v>1</v>
      </c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132">
        <f t="shared" si="0"/>
        <v>0</v>
      </c>
    </row>
    <row r="66" spans="1:36" ht="45" hidden="1" x14ac:dyDescent="0.25">
      <c r="A66" s="135" t="s">
        <v>261</v>
      </c>
      <c r="B66" s="125" t="s">
        <v>262</v>
      </c>
      <c r="C66" s="123" t="s">
        <v>263</v>
      </c>
      <c r="D66" s="123">
        <v>10</v>
      </c>
      <c r="E66" s="123" t="s">
        <v>29</v>
      </c>
      <c r="F66" s="123" t="s">
        <v>202</v>
      </c>
      <c r="G66" s="123">
        <v>38</v>
      </c>
      <c r="H66" s="123">
        <v>380</v>
      </c>
      <c r="I66" s="126" t="s">
        <v>264</v>
      </c>
      <c r="J66" s="136" t="s">
        <v>300</v>
      </c>
      <c r="K66" s="130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2">
        <f t="shared" si="0"/>
        <v>10</v>
      </c>
    </row>
    <row r="67" spans="1:36" ht="45" hidden="1" x14ac:dyDescent="0.25">
      <c r="A67" s="135" t="s">
        <v>261</v>
      </c>
      <c r="B67" s="125" t="s">
        <v>262</v>
      </c>
      <c r="C67" s="123" t="s">
        <v>263</v>
      </c>
      <c r="D67" s="123">
        <v>6</v>
      </c>
      <c r="E67" s="123" t="s">
        <v>36</v>
      </c>
      <c r="F67" s="123" t="s">
        <v>115</v>
      </c>
      <c r="G67" s="123">
        <v>85</v>
      </c>
      <c r="H67" s="123">
        <v>510</v>
      </c>
      <c r="I67" s="126" t="s">
        <v>299</v>
      </c>
      <c r="J67" s="136" t="s">
        <v>305</v>
      </c>
      <c r="K67" s="75"/>
      <c r="L67" s="68"/>
      <c r="M67" s="68">
        <v>2</v>
      </c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132">
        <f t="shared" ref="AJ67:AJ97" si="1">D67-(SUM(K67:AH67))</f>
        <v>4</v>
      </c>
    </row>
    <row r="68" spans="1:36" ht="45" hidden="1" x14ac:dyDescent="0.25">
      <c r="A68" s="135" t="s">
        <v>261</v>
      </c>
      <c r="B68" s="125" t="s">
        <v>262</v>
      </c>
      <c r="C68" s="123" t="s">
        <v>263</v>
      </c>
      <c r="D68" s="123">
        <v>1</v>
      </c>
      <c r="E68" s="123" t="s">
        <v>36</v>
      </c>
      <c r="F68" s="123" t="s">
        <v>117</v>
      </c>
      <c r="G68" s="123">
        <v>135</v>
      </c>
      <c r="H68" s="123">
        <v>135</v>
      </c>
      <c r="I68" s="126" t="s">
        <v>299</v>
      </c>
      <c r="J68" s="136" t="s">
        <v>305</v>
      </c>
      <c r="K68" s="130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2">
        <f t="shared" si="1"/>
        <v>1</v>
      </c>
    </row>
    <row r="69" spans="1:36" ht="45" hidden="1" x14ac:dyDescent="0.25">
      <c r="A69" s="135" t="s">
        <v>261</v>
      </c>
      <c r="B69" s="125" t="s">
        <v>262</v>
      </c>
      <c r="C69" s="123" t="s">
        <v>263</v>
      </c>
      <c r="D69" s="123">
        <v>7</v>
      </c>
      <c r="E69" s="123" t="s">
        <v>119</v>
      </c>
      <c r="F69" s="123" t="s">
        <v>118</v>
      </c>
      <c r="G69" s="123">
        <v>125</v>
      </c>
      <c r="H69" s="123">
        <v>875</v>
      </c>
      <c r="I69" s="126" t="s">
        <v>299</v>
      </c>
      <c r="J69" s="136" t="s">
        <v>305</v>
      </c>
      <c r="K69" s="75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132">
        <f t="shared" si="1"/>
        <v>7</v>
      </c>
    </row>
    <row r="70" spans="1:36" ht="45" hidden="1" x14ac:dyDescent="0.25">
      <c r="A70" s="135" t="s">
        <v>261</v>
      </c>
      <c r="B70" s="125" t="s">
        <v>262</v>
      </c>
      <c r="C70" s="123" t="s">
        <v>263</v>
      </c>
      <c r="D70" s="123">
        <v>300</v>
      </c>
      <c r="E70" s="123" t="s">
        <v>121</v>
      </c>
      <c r="F70" s="123" t="s">
        <v>306</v>
      </c>
      <c r="G70" s="123">
        <v>20</v>
      </c>
      <c r="H70" s="123">
        <v>6000</v>
      </c>
      <c r="I70" s="126" t="s">
        <v>264</v>
      </c>
      <c r="J70" s="136" t="s">
        <v>305</v>
      </c>
      <c r="K70" s="130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2">
        <f t="shared" si="1"/>
        <v>300</v>
      </c>
    </row>
    <row r="71" spans="1:36" ht="75" hidden="1" x14ac:dyDescent="0.25">
      <c r="A71" s="135" t="s">
        <v>261</v>
      </c>
      <c r="B71" s="125" t="s">
        <v>262</v>
      </c>
      <c r="C71" s="123" t="s">
        <v>263</v>
      </c>
      <c r="D71" s="123">
        <v>5</v>
      </c>
      <c r="E71" s="123" t="s">
        <v>121</v>
      </c>
      <c r="F71" s="123" t="s">
        <v>307</v>
      </c>
      <c r="G71" s="123">
        <v>50</v>
      </c>
      <c r="H71" s="123">
        <v>250</v>
      </c>
      <c r="I71" s="126" t="s">
        <v>299</v>
      </c>
      <c r="J71" s="136" t="s">
        <v>305</v>
      </c>
      <c r="K71" s="75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132">
        <f t="shared" si="1"/>
        <v>5</v>
      </c>
    </row>
    <row r="72" spans="1:36" ht="45" hidden="1" x14ac:dyDescent="0.25">
      <c r="A72" s="135" t="s">
        <v>261</v>
      </c>
      <c r="B72" s="125" t="s">
        <v>262</v>
      </c>
      <c r="C72" s="123" t="s">
        <v>263</v>
      </c>
      <c r="D72" s="123">
        <v>1</v>
      </c>
      <c r="E72" s="123" t="s">
        <v>121</v>
      </c>
      <c r="F72" s="123" t="s">
        <v>123</v>
      </c>
      <c r="G72" s="123">
        <v>25</v>
      </c>
      <c r="H72" s="123">
        <v>25</v>
      </c>
      <c r="I72" s="126" t="s">
        <v>299</v>
      </c>
      <c r="J72" s="136" t="s">
        <v>305</v>
      </c>
      <c r="K72" s="130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2">
        <f t="shared" si="1"/>
        <v>1</v>
      </c>
    </row>
    <row r="73" spans="1:36" ht="45" hidden="1" x14ac:dyDescent="0.25">
      <c r="A73" s="135" t="s">
        <v>261</v>
      </c>
      <c r="B73" s="125" t="s">
        <v>262</v>
      </c>
      <c r="C73" s="123" t="s">
        <v>263</v>
      </c>
      <c r="D73" s="123">
        <v>20</v>
      </c>
      <c r="E73" s="123" t="s">
        <v>121</v>
      </c>
      <c r="F73" s="123" t="s">
        <v>204</v>
      </c>
      <c r="G73" s="123">
        <v>25</v>
      </c>
      <c r="H73" s="123">
        <v>500</v>
      </c>
      <c r="I73" s="126" t="s">
        <v>299</v>
      </c>
      <c r="J73" s="136" t="s">
        <v>305</v>
      </c>
      <c r="K73" s="75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132">
        <f t="shared" si="1"/>
        <v>20</v>
      </c>
    </row>
    <row r="74" spans="1:36" ht="45" hidden="1" x14ac:dyDescent="0.25">
      <c r="A74" s="135" t="s">
        <v>261</v>
      </c>
      <c r="B74" s="125" t="s">
        <v>262</v>
      </c>
      <c r="C74" s="123" t="s">
        <v>263</v>
      </c>
      <c r="D74" s="123">
        <v>80</v>
      </c>
      <c r="E74" s="123" t="s">
        <v>36</v>
      </c>
      <c r="F74" s="123" t="s">
        <v>205</v>
      </c>
      <c r="G74" s="123">
        <v>8</v>
      </c>
      <c r="H74" s="123">
        <v>640</v>
      </c>
      <c r="I74" s="126" t="s">
        <v>299</v>
      </c>
      <c r="J74" s="136" t="s">
        <v>305</v>
      </c>
      <c r="K74" s="130"/>
      <c r="L74" s="131">
        <v>20</v>
      </c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2">
        <f t="shared" si="1"/>
        <v>60</v>
      </c>
    </row>
    <row r="75" spans="1:36" ht="45" hidden="1" x14ac:dyDescent="0.25">
      <c r="A75" s="135" t="s">
        <v>261</v>
      </c>
      <c r="B75" s="125" t="s">
        <v>262</v>
      </c>
      <c r="C75" s="123" t="s">
        <v>263</v>
      </c>
      <c r="D75" s="123">
        <v>1</v>
      </c>
      <c r="E75" s="123" t="s">
        <v>36</v>
      </c>
      <c r="F75" s="123" t="s">
        <v>125</v>
      </c>
      <c r="G75" s="123">
        <v>100</v>
      </c>
      <c r="H75" s="123">
        <v>100</v>
      </c>
      <c r="I75" s="126" t="s">
        <v>299</v>
      </c>
      <c r="J75" s="136" t="s">
        <v>305</v>
      </c>
      <c r="K75" s="75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132">
        <f t="shared" si="1"/>
        <v>1</v>
      </c>
    </row>
    <row r="76" spans="1:36" ht="45" hidden="1" x14ac:dyDescent="0.25">
      <c r="A76" s="135" t="s">
        <v>261</v>
      </c>
      <c r="B76" s="125" t="s">
        <v>262</v>
      </c>
      <c r="C76" s="123" t="s">
        <v>263</v>
      </c>
      <c r="D76" s="123">
        <v>80</v>
      </c>
      <c r="E76" s="123" t="s">
        <v>36</v>
      </c>
      <c r="F76" s="123" t="s">
        <v>126</v>
      </c>
      <c r="G76" s="123">
        <v>70</v>
      </c>
      <c r="H76" s="123">
        <v>5600</v>
      </c>
      <c r="I76" s="126" t="s">
        <v>299</v>
      </c>
      <c r="J76" s="136" t="s">
        <v>305</v>
      </c>
      <c r="K76" s="130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2">
        <f t="shared" si="1"/>
        <v>80</v>
      </c>
    </row>
    <row r="77" spans="1:36" ht="45" hidden="1" x14ac:dyDescent="0.25">
      <c r="A77" s="135" t="s">
        <v>261</v>
      </c>
      <c r="B77" s="125" t="s">
        <v>262</v>
      </c>
      <c r="C77" s="123" t="s">
        <v>263</v>
      </c>
      <c r="D77" s="123">
        <v>60</v>
      </c>
      <c r="E77" s="123" t="s">
        <v>36</v>
      </c>
      <c r="F77" s="123" t="s">
        <v>206</v>
      </c>
      <c r="G77" s="123">
        <v>7</v>
      </c>
      <c r="H77" s="123">
        <v>420</v>
      </c>
      <c r="I77" s="126" t="s">
        <v>264</v>
      </c>
      <c r="J77" s="136" t="s">
        <v>305</v>
      </c>
      <c r="K77" s="75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132">
        <f t="shared" si="1"/>
        <v>60</v>
      </c>
    </row>
    <row r="78" spans="1:36" ht="60" hidden="1" x14ac:dyDescent="0.25">
      <c r="A78" s="135" t="s">
        <v>261</v>
      </c>
      <c r="B78" s="125" t="s">
        <v>262</v>
      </c>
      <c r="C78" s="123" t="s">
        <v>263</v>
      </c>
      <c r="D78" s="123">
        <v>220</v>
      </c>
      <c r="E78" s="123" t="s">
        <v>121</v>
      </c>
      <c r="F78" s="123" t="s">
        <v>127</v>
      </c>
      <c r="G78" s="123">
        <v>8</v>
      </c>
      <c r="H78" s="123">
        <v>1760</v>
      </c>
      <c r="I78" s="126" t="s">
        <v>299</v>
      </c>
      <c r="J78" s="136" t="s">
        <v>305</v>
      </c>
      <c r="K78" s="130"/>
      <c r="L78" s="131">
        <v>24</v>
      </c>
      <c r="M78" s="131"/>
      <c r="N78" s="131"/>
      <c r="O78" s="131"/>
      <c r="P78" s="131"/>
      <c r="Q78" s="131"/>
      <c r="R78" s="131">
        <v>40</v>
      </c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2">
        <f t="shared" si="1"/>
        <v>156</v>
      </c>
    </row>
    <row r="79" spans="1:36" ht="45" hidden="1" x14ac:dyDescent="0.25">
      <c r="A79" s="135" t="s">
        <v>261</v>
      </c>
      <c r="B79" s="125" t="s">
        <v>262</v>
      </c>
      <c r="C79" s="123" t="s">
        <v>263</v>
      </c>
      <c r="D79" s="123">
        <v>14</v>
      </c>
      <c r="E79" s="123" t="s">
        <v>36</v>
      </c>
      <c r="F79" s="123" t="s">
        <v>248</v>
      </c>
      <c r="G79" s="123">
        <v>15</v>
      </c>
      <c r="H79" s="123">
        <v>210</v>
      </c>
      <c r="I79" s="126" t="s">
        <v>299</v>
      </c>
      <c r="J79" s="136" t="s">
        <v>305</v>
      </c>
      <c r="K79" s="75"/>
      <c r="L79" s="68">
        <v>14</v>
      </c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132">
        <f t="shared" si="1"/>
        <v>0</v>
      </c>
    </row>
    <row r="80" spans="1:36" ht="45" hidden="1" x14ac:dyDescent="0.25">
      <c r="A80" s="135" t="s">
        <v>261</v>
      </c>
      <c r="B80" s="125" t="s">
        <v>262</v>
      </c>
      <c r="C80" s="123" t="s">
        <v>263</v>
      </c>
      <c r="D80" s="123">
        <v>40</v>
      </c>
      <c r="E80" s="123" t="s">
        <v>36</v>
      </c>
      <c r="F80" s="123" t="s">
        <v>130</v>
      </c>
      <c r="G80" s="123">
        <v>18</v>
      </c>
      <c r="H80" s="123">
        <v>720</v>
      </c>
      <c r="I80" s="126" t="s">
        <v>299</v>
      </c>
      <c r="J80" s="136" t="s">
        <v>305</v>
      </c>
      <c r="K80" s="130"/>
      <c r="L80" s="131">
        <v>10</v>
      </c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2">
        <f t="shared" si="1"/>
        <v>30</v>
      </c>
    </row>
    <row r="81" spans="1:36" ht="45" hidden="1" x14ac:dyDescent="0.25">
      <c r="A81" s="135" t="s">
        <v>261</v>
      </c>
      <c r="B81" s="125" t="s">
        <v>262</v>
      </c>
      <c r="C81" s="123" t="s">
        <v>263</v>
      </c>
      <c r="D81" s="123">
        <v>20</v>
      </c>
      <c r="E81" s="123" t="s">
        <v>36</v>
      </c>
      <c r="F81" s="123" t="s">
        <v>132</v>
      </c>
      <c r="G81" s="123">
        <v>7</v>
      </c>
      <c r="H81" s="123">
        <v>140</v>
      </c>
      <c r="I81" s="126" t="s">
        <v>299</v>
      </c>
      <c r="J81" s="136" t="s">
        <v>305</v>
      </c>
      <c r="K81" s="75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132">
        <f t="shared" si="1"/>
        <v>20</v>
      </c>
    </row>
    <row r="82" spans="1:36" ht="45" hidden="1" x14ac:dyDescent="0.25">
      <c r="A82" s="135" t="s">
        <v>261</v>
      </c>
      <c r="B82" s="125" t="s">
        <v>262</v>
      </c>
      <c r="C82" s="123" t="s">
        <v>263</v>
      </c>
      <c r="D82" s="123">
        <v>6</v>
      </c>
      <c r="E82" s="123" t="s">
        <v>36</v>
      </c>
      <c r="F82" s="123" t="s">
        <v>133</v>
      </c>
      <c r="G82" s="123">
        <v>150</v>
      </c>
      <c r="H82" s="123">
        <v>900</v>
      </c>
      <c r="I82" s="126" t="s">
        <v>299</v>
      </c>
      <c r="J82" s="136" t="s">
        <v>305</v>
      </c>
      <c r="K82" s="131"/>
      <c r="L82" s="131"/>
      <c r="M82" s="123">
        <v>6</v>
      </c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2">
        <f t="shared" si="1"/>
        <v>0</v>
      </c>
    </row>
    <row r="83" spans="1:36" ht="45" hidden="1" x14ac:dyDescent="0.25">
      <c r="A83" s="135" t="s">
        <v>261</v>
      </c>
      <c r="B83" s="125" t="s">
        <v>262</v>
      </c>
      <c r="C83" s="123" t="s">
        <v>263</v>
      </c>
      <c r="D83" s="123">
        <v>1</v>
      </c>
      <c r="E83" s="123" t="s">
        <v>36</v>
      </c>
      <c r="F83" s="123" t="s">
        <v>134</v>
      </c>
      <c r="G83" s="123">
        <v>350</v>
      </c>
      <c r="H83" s="123">
        <v>350</v>
      </c>
      <c r="I83" s="126" t="s">
        <v>299</v>
      </c>
      <c r="J83" s="136" t="s">
        <v>305</v>
      </c>
      <c r="K83" s="68"/>
      <c r="L83" s="68"/>
      <c r="M83" s="123">
        <v>1</v>
      </c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132">
        <f t="shared" si="1"/>
        <v>0</v>
      </c>
    </row>
    <row r="84" spans="1:36" ht="60" hidden="1" x14ac:dyDescent="0.25">
      <c r="A84" s="135" t="s">
        <v>261</v>
      </c>
      <c r="B84" s="125" t="s">
        <v>262</v>
      </c>
      <c r="C84" s="123" t="s">
        <v>263</v>
      </c>
      <c r="D84" s="123">
        <v>2</v>
      </c>
      <c r="E84" s="123" t="s">
        <v>36</v>
      </c>
      <c r="F84" s="123" t="s">
        <v>135</v>
      </c>
      <c r="G84" s="123">
        <v>300</v>
      </c>
      <c r="H84" s="123">
        <v>600</v>
      </c>
      <c r="I84" s="126" t="s">
        <v>299</v>
      </c>
      <c r="J84" s="136" t="s">
        <v>305</v>
      </c>
      <c r="K84" s="131"/>
      <c r="L84" s="131"/>
      <c r="M84" s="123">
        <v>2</v>
      </c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2">
        <f t="shared" si="1"/>
        <v>0</v>
      </c>
    </row>
    <row r="85" spans="1:36" ht="45" hidden="1" x14ac:dyDescent="0.25">
      <c r="A85" s="135" t="s">
        <v>261</v>
      </c>
      <c r="B85" s="125" t="s">
        <v>262</v>
      </c>
      <c r="C85" s="123" t="s">
        <v>263</v>
      </c>
      <c r="D85" s="123">
        <v>3</v>
      </c>
      <c r="E85" s="123" t="s">
        <v>36</v>
      </c>
      <c r="F85" s="123" t="s">
        <v>88</v>
      </c>
      <c r="G85" s="123">
        <v>300</v>
      </c>
      <c r="H85" s="123">
        <v>900</v>
      </c>
      <c r="I85" s="126" t="s">
        <v>299</v>
      </c>
      <c r="J85" s="136" t="s">
        <v>305</v>
      </c>
      <c r="K85" s="68"/>
      <c r="L85" s="68"/>
      <c r="M85" s="133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132">
        <f t="shared" si="1"/>
        <v>3</v>
      </c>
    </row>
    <row r="86" spans="1:36" ht="45" x14ac:dyDescent="0.25">
      <c r="A86" s="135" t="s">
        <v>261</v>
      </c>
      <c r="B86" s="125" t="s">
        <v>262</v>
      </c>
      <c r="C86" s="123" t="s">
        <v>263</v>
      </c>
      <c r="D86" s="123">
        <v>200</v>
      </c>
      <c r="E86" s="123" t="s">
        <v>36</v>
      </c>
      <c r="F86" s="123" t="s">
        <v>41</v>
      </c>
      <c r="G86" s="123">
        <v>2</v>
      </c>
      <c r="H86" s="123">
        <v>400</v>
      </c>
      <c r="I86" s="126" t="s">
        <v>299</v>
      </c>
      <c r="J86" s="136" t="s">
        <v>265</v>
      </c>
      <c r="K86" s="134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2">
        <f t="shared" si="1"/>
        <v>200</v>
      </c>
    </row>
    <row r="87" spans="1:36" ht="45" x14ac:dyDescent="0.25">
      <c r="A87" s="135" t="s">
        <v>261</v>
      </c>
      <c r="B87" s="125" t="s">
        <v>262</v>
      </c>
      <c r="C87" s="123" t="s">
        <v>263</v>
      </c>
      <c r="D87" s="123">
        <v>2</v>
      </c>
      <c r="E87" s="123" t="s">
        <v>29</v>
      </c>
      <c r="F87" s="123" t="s">
        <v>48</v>
      </c>
      <c r="G87" s="123">
        <v>10</v>
      </c>
      <c r="H87" s="123">
        <v>20</v>
      </c>
      <c r="I87" s="126" t="s">
        <v>299</v>
      </c>
      <c r="J87" s="136" t="s">
        <v>265</v>
      </c>
      <c r="K87" s="133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132">
        <f t="shared" si="1"/>
        <v>2</v>
      </c>
    </row>
    <row r="88" spans="1:36" ht="45" x14ac:dyDescent="0.25">
      <c r="A88" s="135" t="s">
        <v>261</v>
      </c>
      <c r="B88" s="125" t="s">
        <v>262</v>
      </c>
      <c r="C88" s="123" t="s">
        <v>263</v>
      </c>
      <c r="D88" s="123">
        <v>2</v>
      </c>
      <c r="E88" s="123" t="s">
        <v>29</v>
      </c>
      <c r="F88" s="123" t="s">
        <v>49</v>
      </c>
      <c r="G88" s="123">
        <v>10</v>
      </c>
      <c r="H88" s="123">
        <v>20</v>
      </c>
      <c r="I88" s="126" t="s">
        <v>299</v>
      </c>
      <c r="J88" s="136" t="s">
        <v>265</v>
      </c>
      <c r="K88" s="134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2">
        <f t="shared" si="1"/>
        <v>2</v>
      </c>
    </row>
    <row r="89" spans="1:36" ht="45" x14ac:dyDescent="0.25">
      <c r="A89" s="135" t="s">
        <v>261</v>
      </c>
      <c r="B89" s="125" t="s">
        <v>262</v>
      </c>
      <c r="C89" s="123" t="s">
        <v>263</v>
      </c>
      <c r="D89" s="123">
        <v>2</v>
      </c>
      <c r="E89" s="123" t="s">
        <v>29</v>
      </c>
      <c r="F89" s="123" t="s">
        <v>50</v>
      </c>
      <c r="G89" s="123">
        <v>10</v>
      </c>
      <c r="H89" s="123">
        <v>20</v>
      </c>
      <c r="I89" s="126" t="s">
        <v>299</v>
      </c>
      <c r="J89" s="136" t="s">
        <v>265</v>
      </c>
      <c r="K89" s="133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132">
        <f t="shared" si="1"/>
        <v>2</v>
      </c>
    </row>
    <row r="90" spans="1:36" ht="45" x14ac:dyDescent="0.25">
      <c r="A90" s="135" t="s">
        <v>261</v>
      </c>
      <c r="B90" s="125" t="s">
        <v>262</v>
      </c>
      <c r="C90" s="123" t="s">
        <v>263</v>
      </c>
      <c r="D90" s="123">
        <v>5</v>
      </c>
      <c r="E90" s="123" t="s">
        <v>36</v>
      </c>
      <c r="F90" s="123" t="s">
        <v>51</v>
      </c>
      <c r="G90" s="123">
        <v>15</v>
      </c>
      <c r="H90" s="123">
        <v>75</v>
      </c>
      <c r="I90" s="126" t="s">
        <v>299</v>
      </c>
      <c r="J90" s="136" t="s">
        <v>265</v>
      </c>
      <c r="K90" s="134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2">
        <f t="shared" si="1"/>
        <v>5</v>
      </c>
    </row>
    <row r="91" spans="1:36" ht="45" x14ac:dyDescent="0.25">
      <c r="A91" s="135" t="s">
        <v>261</v>
      </c>
      <c r="B91" s="125" t="s">
        <v>262</v>
      </c>
      <c r="C91" s="123" t="s">
        <v>263</v>
      </c>
      <c r="D91" s="123">
        <v>5</v>
      </c>
      <c r="E91" s="123" t="s">
        <v>36</v>
      </c>
      <c r="F91" s="123" t="s">
        <v>52</v>
      </c>
      <c r="G91" s="123">
        <v>18</v>
      </c>
      <c r="H91" s="123">
        <v>90</v>
      </c>
      <c r="I91" s="126" t="s">
        <v>299</v>
      </c>
      <c r="J91" s="136" t="s">
        <v>265</v>
      </c>
      <c r="K91" s="133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132">
        <f t="shared" si="1"/>
        <v>5</v>
      </c>
    </row>
    <row r="92" spans="1:36" ht="45" x14ac:dyDescent="0.25">
      <c r="A92" s="135" t="s">
        <v>261</v>
      </c>
      <c r="B92" s="125" t="s">
        <v>262</v>
      </c>
      <c r="C92" s="123" t="s">
        <v>263</v>
      </c>
      <c r="D92" s="123">
        <v>10</v>
      </c>
      <c r="E92" s="123" t="s">
        <v>36</v>
      </c>
      <c r="F92" s="123" t="s">
        <v>308</v>
      </c>
      <c r="G92" s="123">
        <v>16</v>
      </c>
      <c r="H92" s="123">
        <v>160</v>
      </c>
      <c r="I92" s="126" t="s">
        <v>299</v>
      </c>
      <c r="J92" s="136" t="s">
        <v>265</v>
      </c>
      <c r="K92" s="134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2">
        <f t="shared" si="1"/>
        <v>10</v>
      </c>
    </row>
    <row r="93" spans="1:36" ht="45" x14ac:dyDescent="0.25">
      <c r="A93" s="135" t="s">
        <v>261</v>
      </c>
      <c r="B93" s="125" t="s">
        <v>262</v>
      </c>
      <c r="C93" s="123" t="s">
        <v>263</v>
      </c>
      <c r="D93" s="123">
        <v>10</v>
      </c>
      <c r="E93" s="123" t="s">
        <v>36</v>
      </c>
      <c r="F93" s="123" t="s">
        <v>309</v>
      </c>
      <c r="G93" s="123">
        <v>14</v>
      </c>
      <c r="H93" s="123">
        <v>140</v>
      </c>
      <c r="I93" s="126" t="s">
        <v>299</v>
      </c>
      <c r="J93" s="136" t="s">
        <v>265</v>
      </c>
      <c r="K93" s="75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132">
        <f t="shared" si="1"/>
        <v>10</v>
      </c>
    </row>
    <row r="94" spans="1:36" ht="45" x14ac:dyDescent="0.25">
      <c r="A94" s="135" t="s">
        <v>261</v>
      </c>
      <c r="B94" s="125" t="s">
        <v>262</v>
      </c>
      <c r="C94" s="123" t="s">
        <v>263</v>
      </c>
      <c r="D94" s="123">
        <v>70</v>
      </c>
      <c r="E94" s="123" t="s">
        <v>36</v>
      </c>
      <c r="F94" s="123" t="s">
        <v>66</v>
      </c>
      <c r="G94" s="123">
        <v>20</v>
      </c>
      <c r="H94" s="123">
        <v>1400</v>
      </c>
      <c r="I94" s="126" t="s">
        <v>299</v>
      </c>
      <c r="J94" s="136" t="s">
        <v>265</v>
      </c>
      <c r="K94" s="130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2">
        <f t="shared" si="1"/>
        <v>70</v>
      </c>
    </row>
    <row r="95" spans="1:36" ht="45" x14ac:dyDescent="0.25">
      <c r="A95" s="135" t="s">
        <v>261</v>
      </c>
      <c r="B95" s="125" t="s">
        <v>262</v>
      </c>
      <c r="C95" s="123" t="s">
        <v>263</v>
      </c>
      <c r="D95" s="123">
        <v>5</v>
      </c>
      <c r="E95" s="123" t="s">
        <v>36</v>
      </c>
      <c r="F95" s="123" t="s">
        <v>310</v>
      </c>
      <c r="G95" s="123">
        <v>20</v>
      </c>
      <c r="H95" s="123">
        <v>100</v>
      </c>
      <c r="I95" s="126" t="s">
        <v>299</v>
      </c>
      <c r="J95" s="136" t="s">
        <v>265</v>
      </c>
      <c r="K95" s="75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132">
        <f t="shared" si="1"/>
        <v>5</v>
      </c>
    </row>
    <row r="96" spans="1:36" ht="45" x14ac:dyDescent="0.25">
      <c r="A96" s="135" t="s">
        <v>261</v>
      </c>
      <c r="B96" s="125" t="s">
        <v>262</v>
      </c>
      <c r="C96" s="123" t="s">
        <v>263</v>
      </c>
      <c r="D96" s="123">
        <v>5</v>
      </c>
      <c r="E96" s="123" t="s">
        <v>36</v>
      </c>
      <c r="F96" s="123" t="s">
        <v>311</v>
      </c>
      <c r="G96" s="123">
        <v>15</v>
      </c>
      <c r="H96" s="123">
        <v>75</v>
      </c>
      <c r="I96" s="126" t="s">
        <v>299</v>
      </c>
      <c r="J96" s="136" t="s">
        <v>265</v>
      </c>
      <c r="K96" s="130"/>
      <c r="L96" s="131"/>
      <c r="M96" s="131">
        <v>2</v>
      </c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2">
        <f t="shared" si="1"/>
        <v>3</v>
      </c>
    </row>
    <row r="97" spans="1:36" ht="45.75" thickBot="1" x14ac:dyDescent="0.3">
      <c r="A97" s="137" t="s">
        <v>261</v>
      </c>
      <c r="B97" s="138" t="s">
        <v>262</v>
      </c>
      <c r="C97" s="139" t="s">
        <v>263</v>
      </c>
      <c r="D97" s="139">
        <v>5</v>
      </c>
      <c r="E97" s="139" t="s">
        <v>36</v>
      </c>
      <c r="F97" s="139" t="s">
        <v>80</v>
      </c>
      <c r="G97" s="139">
        <v>12</v>
      </c>
      <c r="H97" s="139">
        <v>60</v>
      </c>
      <c r="I97" s="140" t="s">
        <v>299</v>
      </c>
      <c r="J97" s="141" t="s">
        <v>265</v>
      </c>
      <c r="K97" s="75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132">
        <f t="shared" si="1"/>
        <v>5</v>
      </c>
    </row>
  </sheetData>
  <protectedRanges>
    <protectedRange sqref="I1" name="Rango1"/>
    <protectedRange sqref="I2:I97" name="Rango1_2"/>
  </protectedRanges>
  <autoFilter ref="A1:J97" xr:uid="{40E2176C-B9CF-49F1-8B50-7F9A699A8FED}">
    <filterColumn colId="9">
      <filters>
        <filter val="MISCELANEOS"/>
      </filters>
    </filterColumn>
  </autoFilter>
  <conditionalFormatting sqref="J1:J97 I1:I1048576">
    <cfRule type="cellIs" dxfId="3" priority="4" operator="equal">
      <formula>"entregado"</formula>
    </cfRule>
  </conditionalFormatting>
  <conditionalFormatting sqref="AJ2:AJ97">
    <cfRule type="cellIs" dxfId="2" priority="1" operator="greaterThan">
      <formula>0</formula>
    </cfRule>
  </conditionalFormatting>
  <dataValidations count="1">
    <dataValidation type="list" allowBlank="1" showInputMessage="1" showErrorMessage="1" sqref="I2:I97" xr:uid="{7F8F0F3A-D7F0-4D6B-A265-3BA17C1111A0}">
      <formula1>"En Cotizaciòn,Cuadro Comparativo,Entregado,Observado,Entregado,Sin Existencias,Remplazo"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EF13B-8885-45A7-979B-DA50119DAF5F}">
  <sheetPr filterMode="1">
    <tabColor theme="9" tint="-0.499984740745262"/>
  </sheetPr>
  <dimension ref="A1:AJ92"/>
  <sheetViews>
    <sheetView zoomScale="70" zoomScaleNormal="70" workbookViewId="0">
      <pane xSplit="11" ySplit="6" topLeftCell="L7" activePane="bottomRight" state="frozen"/>
      <selection pane="topRight" activeCell="L1" sqref="L1"/>
      <selection pane="bottomLeft" activeCell="A7" sqref="A7"/>
      <selection pane="bottomRight" activeCell="N6" sqref="N6"/>
    </sheetView>
  </sheetViews>
  <sheetFormatPr baseColWidth="10" defaultRowHeight="15" x14ac:dyDescent="0.25"/>
  <cols>
    <col min="2" max="2" width="26.7109375" customWidth="1"/>
    <col min="6" max="6" width="47.42578125" style="53" customWidth="1"/>
    <col min="10" max="10" width="27.42578125" customWidth="1"/>
    <col min="11" max="12" width="11.42578125" hidden="1" customWidth="1"/>
    <col min="21" max="35" width="0" hidden="1" customWidth="1"/>
  </cols>
  <sheetData>
    <row r="1" spans="1:36" ht="39" thickBot="1" x14ac:dyDescent="0.3">
      <c r="A1" s="153" t="s">
        <v>253</v>
      </c>
      <c r="B1" s="154" t="s">
        <v>254</v>
      </c>
      <c r="C1" s="154" t="s">
        <v>255</v>
      </c>
      <c r="D1" s="154" t="s">
        <v>256</v>
      </c>
      <c r="E1" s="154" t="s">
        <v>14</v>
      </c>
      <c r="F1" s="154" t="s">
        <v>257</v>
      </c>
      <c r="G1" s="154" t="s">
        <v>258</v>
      </c>
      <c r="H1" s="155" t="s">
        <v>259</v>
      </c>
      <c r="I1" s="156" t="s">
        <v>260</v>
      </c>
      <c r="J1" s="184" t="s">
        <v>37</v>
      </c>
      <c r="K1" s="157" t="s">
        <v>169</v>
      </c>
      <c r="L1" s="144" t="s">
        <v>158</v>
      </c>
      <c r="M1" s="144" t="s">
        <v>159</v>
      </c>
      <c r="N1" s="144" t="s">
        <v>160</v>
      </c>
      <c r="O1" s="144" t="s">
        <v>161</v>
      </c>
      <c r="P1" s="144" t="s">
        <v>162</v>
      </c>
      <c r="Q1" s="144" t="s">
        <v>163</v>
      </c>
      <c r="R1" s="144" t="s">
        <v>164</v>
      </c>
      <c r="S1" s="144" t="s">
        <v>165</v>
      </c>
      <c r="T1" s="145" t="s">
        <v>166</v>
      </c>
      <c r="U1" s="128" t="s">
        <v>167</v>
      </c>
      <c r="V1" s="129" t="s">
        <v>176</v>
      </c>
      <c r="W1" s="129" t="s">
        <v>177</v>
      </c>
      <c r="X1" s="129" t="s">
        <v>178</v>
      </c>
      <c r="Y1" s="127" t="s">
        <v>179</v>
      </c>
      <c r="Z1" s="128" t="s">
        <v>180</v>
      </c>
      <c r="AA1" s="129" t="s">
        <v>185</v>
      </c>
      <c r="AB1" s="129" t="s">
        <v>186</v>
      </c>
      <c r="AC1" s="127" t="s">
        <v>187</v>
      </c>
      <c r="AD1" s="128" t="s">
        <v>188</v>
      </c>
      <c r="AE1" s="129" t="s">
        <v>189</v>
      </c>
      <c r="AF1" s="128" t="s">
        <v>190</v>
      </c>
      <c r="AG1" s="129" t="s">
        <v>191</v>
      </c>
      <c r="AH1" s="128" t="s">
        <v>192</v>
      </c>
      <c r="AI1" s="146" t="s">
        <v>193</v>
      </c>
      <c r="AJ1" s="148" t="s">
        <v>168</v>
      </c>
    </row>
    <row r="2" spans="1:36" ht="30" x14ac:dyDescent="0.25">
      <c r="A2" s="166" t="s">
        <v>261</v>
      </c>
      <c r="B2" s="125" t="s">
        <v>337</v>
      </c>
      <c r="C2" s="167" t="s">
        <v>326</v>
      </c>
      <c r="D2" s="123">
        <v>200</v>
      </c>
      <c r="E2" s="123" t="s">
        <v>36</v>
      </c>
      <c r="F2" s="173" t="s">
        <v>41</v>
      </c>
      <c r="G2" s="170">
        <v>2</v>
      </c>
      <c r="H2" s="170">
        <v>400</v>
      </c>
      <c r="I2" s="181"/>
      <c r="J2" s="123" t="s">
        <v>265</v>
      </c>
      <c r="K2" s="163"/>
      <c r="L2" s="164"/>
      <c r="M2" s="164"/>
      <c r="N2" s="164"/>
      <c r="O2" s="164"/>
      <c r="P2" s="164"/>
      <c r="Q2" s="164"/>
      <c r="R2" s="164"/>
      <c r="S2" s="164"/>
      <c r="T2" s="164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47">
        <f>D2-(SUM(K2:AH2))</f>
        <v>200</v>
      </c>
    </row>
    <row r="3" spans="1:36" ht="30" x14ac:dyDescent="0.25">
      <c r="A3" s="166" t="s">
        <v>261</v>
      </c>
      <c r="B3" s="125" t="s">
        <v>325</v>
      </c>
      <c r="C3" s="167" t="s">
        <v>326</v>
      </c>
      <c r="D3" s="168">
        <v>2</v>
      </c>
      <c r="E3" s="168" t="s">
        <v>36</v>
      </c>
      <c r="F3" s="171" t="s">
        <v>341</v>
      </c>
      <c r="G3" s="170">
        <v>33</v>
      </c>
      <c r="H3" s="170">
        <v>66</v>
      </c>
      <c r="I3" s="181"/>
      <c r="J3" s="123" t="s">
        <v>305</v>
      </c>
      <c r="K3" s="75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132">
        <f t="shared" ref="AJ3:AJ66" si="0">D3-(SUM(K3:AH3))</f>
        <v>2</v>
      </c>
    </row>
    <row r="4" spans="1:36" ht="30" x14ac:dyDescent="0.25">
      <c r="A4" s="166" t="s">
        <v>261</v>
      </c>
      <c r="B4" s="125" t="s">
        <v>337</v>
      </c>
      <c r="C4" s="167" t="s">
        <v>326</v>
      </c>
      <c r="D4" s="123">
        <v>3</v>
      </c>
      <c r="E4" s="123" t="s">
        <v>36</v>
      </c>
      <c r="F4" s="173" t="s">
        <v>88</v>
      </c>
      <c r="G4" s="170">
        <v>350</v>
      </c>
      <c r="H4" s="170">
        <v>1050</v>
      </c>
      <c r="I4" s="181"/>
      <c r="J4" s="123" t="s">
        <v>305</v>
      </c>
      <c r="K4" s="75"/>
      <c r="L4" s="68"/>
      <c r="M4" s="68"/>
      <c r="N4" s="68">
        <v>1</v>
      </c>
      <c r="O4" s="68"/>
      <c r="P4" s="68"/>
      <c r="Q4" s="68"/>
      <c r="R4" s="68"/>
      <c r="S4" s="68"/>
      <c r="T4" s="68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2">
        <f t="shared" si="0"/>
        <v>2</v>
      </c>
    </row>
    <row r="5" spans="1:36" ht="30" x14ac:dyDescent="0.25">
      <c r="A5" s="166" t="s">
        <v>261</v>
      </c>
      <c r="B5" s="125" t="s">
        <v>337</v>
      </c>
      <c r="C5" s="167" t="s">
        <v>326</v>
      </c>
      <c r="D5" s="123">
        <v>3</v>
      </c>
      <c r="E5" s="123" t="s">
        <v>119</v>
      </c>
      <c r="F5" s="173" t="s">
        <v>339</v>
      </c>
      <c r="G5" s="170">
        <v>125</v>
      </c>
      <c r="H5" s="170">
        <v>375</v>
      </c>
      <c r="I5" s="181"/>
      <c r="J5" s="123" t="s">
        <v>305</v>
      </c>
      <c r="K5" s="75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132">
        <f t="shared" si="0"/>
        <v>3</v>
      </c>
    </row>
    <row r="6" spans="1:36" ht="30" x14ac:dyDescent="0.25">
      <c r="A6" s="166" t="s">
        <v>261</v>
      </c>
      <c r="B6" s="125" t="s">
        <v>337</v>
      </c>
      <c r="C6" s="167" t="s">
        <v>326</v>
      </c>
      <c r="D6" s="123">
        <v>7</v>
      </c>
      <c r="E6" s="123" t="s">
        <v>119</v>
      </c>
      <c r="F6" s="173" t="s">
        <v>338</v>
      </c>
      <c r="G6" s="170">
        <v>125</v>
      </c>
      <c r="H6" s="170">
        <v>875</v>
      </c>
      <c r="I6" s="181"/>
      <c r="J6" s="123" t="s">
        <v>265</v>
      </c>
      <c r="K6" s="75"/>
      <c r="L6" s="68"/>
      <c r="M6" s="68"/>
      <c r="N6" s="68">
        <v>1</v>
      </c>
      <c r="O6" s="68"/>
      <c r="P6" s="68"/>
      <c r="Q6" s="68"/>
      <c r="R6" s="68"/>
      <c r="S6" s="68"/>
      <c r="T6" s="68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2">
        <f t="shared" si="0"/>
        <v>6</v>
      </c>
    </row>
    <row r="7" spans="1:36" ht="30" x14ac:dyDescent="0.25">
      <c r="A7" s="166" t="s">
        <v>261</v>
      </c>
      <c r="B7" s="125" t="s">
        <v>337</v>
      </c>
      <c r="C7" s="167" t="s">
        <v>326</v>
      </c>
      <c r="D7" s="123">
        <v>1</v>
      </c>
      <c r="E7" s="123" t="s">
        <v>46</v>
      </c>
      <c r="F7" s="173" t="s">
        <v>45</v>
      </c>
      <c r="G7" s="170">
        <v>150</v>
      </c>
      <c r="H7" s="170">
        <v>150</v>
      </c>
      <c r="I7" s="181"/>
      <c r="J7" s="123" t="s">
        <v>265</v>
      </c>
      <c r="K7" s="75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132">
        <f t="shared" si="0"/>
        <v>1</v>
      </c>
    </row>
    <row r="8" spans="1:36" ht="30" x14ac:dyDescent="0.25">
      <c r="A8" s="166" t="s">
        <v>261</v>
      </c>
      <c r="B8" s="125" t="s">
        <v>337</v>
      </c>
      <c r="C8" s="167" t="s">
        <v>326</v>
      </c>
      <c r="D8" s="123">
        <v>1</v>
      </c>
      <c r="E8" s="123" t="s">
        <v>46</v>
      </c>
      <c r="F8" s="173" t="s">
        <v>266</v>
      </c>
      <c r="G8" s="170">
        <v>210</v>
      </c>
      <c r="H8" s="170">
        <v>210</v>
      </c>
      <c r="I8" s="181"/>
      <c r="J8" s="123" t="s">
        <v>265</v>
      </c>
      <c r="K8" s="75"/>
      <c r="L8" s="68"/>
      <c r="M8" s="68"/>
      <c r="N8" s="68"/>
      <c r="O8" s="68"/>
      <c r="P8" s="68"/>
      <c r="Q8" s="68"/>
      <c r="R8" s="68"/>
      <c r="S8" s="68"/>
      <c r="T8" s="68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2">
        <f t="shared" si="0"/>
        <v>1</v>
      </c>
    </row>
    <row r="9" spans="1:36" ht="30" x14ac:dyDescent="0.25">
      <c r="A9" s="166" t="s">
        <v>261</v>
      </c>
      <c r="B9" s="125" t="s">
        <v>337</v>
      </c>
      <c r="C9" s="167" t="s">
        <v>326</v>
      </c>
      <c r="D9" s="123">
        <v>1</v>
      </c>
      <c r="E9" s="123" t="s">
        <v>46</v>
      </c>
      <c r="F9" s="172" t="s">
        <v>267</v>
      </c>
      <c r="G9" s="170">
        <v>350</v>
      </c>
      <c r="H9" s="170">
        <v>350</v>
      </c>
      <c r="I9" s="181"/>
      <c r="J9" s="123" t="s">
        <v>265</v>
      </c>
      <c r="K9" s="75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132">
        <f t="shared" si="0"/>
        <v>1</v>
      </c>
    </row>
    <row r="10" spans="1:36" ht="30" x14ac:dyDescent="0.25">
      <c r="A10" s="166" t="s">
        <v>261</v>
      </c>
      <c r="B10" s="125" t="s">
        <v>337</v>
      </c>
      <c r="C10" s="167" t="s">
        <v>326</v>
      </c>
      <c r="D10" s="123">
        <v>20</v>
      </c>
      <c r="E10" s="123" t="s">
        <v>121</v>
      </c>
      <c r="F10" s="173" t="s">
        <v>204</v>
      </c>
      <c r="G10" s="170">
        <v>22</v>
      </c>
      <c r="H10" s="170">
        <v>440</v>
      </c>
      <c r="I10" s="181"/>
      <c r="J10" s="123" t="s">
        <v>305</v>
      </c>
      <c r="K10" s="75"/>
      <c r="L10" s="68"/>
      <c r="M10" s="68"/>
      <c r="N10" s="68"/>
      <c r="O10" s="68"/>
      <c r="P10" s="68"/>
      <c r="Q10" s="68"/>
      <c r="R10" s="68"/>
      <c r="S10" s="68"/>
      <c r="T10" s="68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2">
        <f t="shared" si="0"/>
        <v>20</v>
      </c>
    </row>
    <row r="11" spans="1:36" ht="30" x14ac:dyDescent="0.25">
      <c r="A11" s="166" t="s">
        <v>261</v>
      </c>
      <c r="B11" s="125" t="s">
        <v>325</v>
      </c>
      <c r="C11" s="167" t="s">
        <v>326</v>
      </c>
      <c r="D11" s="168">
        <v>10</v>
      </c>
      <c r="E11" s="168" t="s">
        <v>121</v>
      </c>
      <c r="F11" s="169" t="s">
        <v>306</v>
      </c>
      <c r="G11" s="170">
        <v>30</v>
      </c>
      <c r="H11" s="170">
        <v>300</v>
      </c>
      <c r="I11" s="181"/>
      <c r="J11" s="123" t="s">
        <v>305</v>
      </c>
      <c r="K11" s="75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132">
        <f t="shared" si="0"/>
        <v>10</v>
      </c>
    </row>
    <row r="12" spans="1:36" ht="30" x14ac:dyDescent="0.25">
      <c r="A12" s="166" t="s">
        <v>261</v>
      </c>
      <c r="B12" s="125" t="s">
        <v>337</v>
      </c>
      <c r="C12" s="167" t="s">
        <v>326</v>
      </c>
      <c r="D12" s="123">
        <v>250</v>
      </c>
      <c r="E12" s="123" t="s">
        <v>121</v>
      </c>
      <c r="F12" s="173" t="s">
        <v>306</v>
      </c>
      <c r="G12" s="170">
        <v>28</v>
      </c>
      <c r="H12" s="170">
        <v>7000</v>
      </c>
      <c r="I12" s="181"/>
      <c r="J12" s="123" t="s">
        <v>305</v>
      </c>
      <c r="K12" s="75"/>
      <c r="L12" s="68"/>
      <c r="M12" s="68"/>
      <c r="N12" s="68"/>
      <c r="O12" s="68"/>
      <c r="P12" s="68"/>
      <c r="Q12" s="68"/>
      <c r="R12" s="68"/>
      <c r="S12" s="68"/>
      <c r="T12" s="68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2">
        <f t="shared" si="0"/>
        <v>250</v>
      </c>
    </row>
    <row r="13" spans="1:36" ht="45" x14ac:dyDescent="0.25">
      <c r="A13" s="166" t="s">
        <v>261</v>
      </c>
      <c r="B13" s="125" t="s">
        <v>337</v>
      </c>
      <c r="C13" s="167" t="s">
        <v>326</v>
      </c>
      <c r="D13" s="123">
        <v>5</v>
      </c>
      <c r="E13" s="123" t="s">
        <v>121</v>
      </c>
      <c r="F13" s="173" t="s">
        <v>307</v>
      </c>
      <c r="G13" s="170">
        <v>50</v>
      </c>
      <c r="H13" s="170">
        <v>250</v>
      </c>
      <c r="I13" s="181"/>
      <c r="J13" s="123" t="s">
        <v>305</v>
      </c>
      <c r="K13" s="75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132">
        <f t="shared" si="0"/>
        <v>5</v>
      </c>
    </row>
    <row r="14" spans="1:36" ht="30" x14ac:dyDescent="0.25">
      <c r="A14" s="166" t="s">
        <v>261</v>
      </c>
      <c r="B14" s="125" t="s">
        <v>337</v>
      </c>
      <c r="C14" s="167" t="s">
        <v>326</v>
      </c>
      <c r="D14" s="123">
        <v>1</v>
      </c>
      <c r="E14" s="123" t="s">
        <v>121</v>
      </c>
      <c r="F14" s="173" t="s">
        <v>123</v>
      </c>
      <c r="G14" s="170">
        <v>22</v>
      </c>
      <c r="H14" s="170">
        <v>22</v>
      </c>
      <c r="I14" s="181"/>
      <c r="J14" s="123" t="s">
        <v>305</v>
      </c>
      <c r="K14" s="75"/>
      <c r="L14" s="68"/>
      <c r="M14" s="68"/>
      <c r="N14" s="68"/>
      <c r="O14" s="68"/>
      <c r="P14" s="68"/>
      <c r="Q14" s="68"/>
      <c r="R14" s="68"/>
      <c r="S14" s="68"/>
      <c r="T14" s="68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2">
        <f t="shared" si="0"/>
        <v>1</v>
      </c>
    </row>
    <row r="15" spans="1:36" ht="30" x14ac:dyDescent="0.25">
      <c r="A15" s="166" t="s">
        <v>261</v>
      </c>
      <c r="B15" s="125" t="s">
        <v>337</v>
      </c>
      <c r="C15" s="167" t="s">
        <v>326</v>
      </c>
      <c r="D15" s="123">
        <v>4</v>
      </c>
      <c r="E15" s="123" t="s">
        <v>121</v>
      </c>
      <c r="F15" s="172" t="s">
        <v>276</v>
      </c>
      <c r="G15" s="170">
        <v>40</v>
      </c>
      <c r="H15" s="170">
        <v>160</v>
      </c>
      <c r="I15" s="181"/>
      <c r="J15" s="123" t="s">
        <v>265</v>
      </c>
      <c r="K15" s="75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132">
        <f t="shared" si="0"/>
        <v>4</v>
      </c>
    </row>
    <row r="16" spans="1:36" ht="30" x14ac:dyDescent="0.25">
      <c r="A16" s="166" t="s">
        <v>261</v>
      </c>
      <c r="B16" s="125" t="s">
        <v>337</v>
      </c>
      <c r="C16" s="167" t="s">
        <v>326</v>
      </c>
      <c r="D16" s="123">
        <v>5</v>
      </c>
      <c r="E16" s="123" t="s">
        <v>121</v>
      </c>
      <c r="F16" s="172" t="s">
        <v>274</v>
      </c>
      <c r="G16" s="170">
        <v>18</v>
      </c>
      <c r="H16" s="170">
        <v>90</v>
      </c>
      <c r="I16" s="181"/>
      <c r="J16" s="123" t="s">
        <v>265</v>
      </c>
      <c r="K16" s="75"/>
      <c r="L16" s="68"/>
      <c r="M16" s="68"/>
      <c r="N16" s="68"/>
      <c r="O16" s="68"/>
      <c r="P16" s="68"/>
      <c r="Q16" s="68"/>
      <c r="R16" s="68"/>
      <c r="S16" s="68"/>
      <c r="T16" s="68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2">
        <f t="shared" si="0"/>
        <v>5</v>
      </c>
    </row>
    <row r="17" spans="1:36" ht="30" x14ac:dyDescent="0.25">
      <c r="A17" s="166" t="s">
        <v>261</v>
      </c>
      <c r="B17" s="125" t="s">
        <v>325</v>
      </c>
      <c r="C17" s="167" t="s">
        <v>326</v>
      </c>
      <c r="D17" s="168">
        <v>6</v>
      </c>
      <c r="E17" s="168" t="s">
        <v>36</v>
      </c>
      <c r="F17" s="171" t="s">
        <v>343</v>
      </c>
      <c r="G17" s="170">
        <v>15</v>
      </c>
      <c r="H17" s="170">
        <v>90</v>
      </c>
      <c r="I17" s="181"/>
      <c r="J17" s="123" t="s">
        <v>265</v>
      </c>
      <c r="K17" s="75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132">
        <f t="shared" si="0"/>
        <v>6</v>
      </c>
    </row>
    <row r="18" spans="1:36" ht="30" x14ac:dyDescent="0.25">
      <c r="A18" s="166" t="s">
        <v>261</v>
      </c>
      <c r="B18" s="125" t="s">
        <v>337</v>
      </c>
      <c r="C18" s="167" t="s">
        <v>326</v>
      </c>
      <c r="D18" s="123">
        <v>2</v>
      </c>
      <c r="E18" s="123" t="s">
        <v>36</v>
      </c>
      <c r="F18" s="172" t="s">
        <v>346</v>
      </c>
      <c r="G18" s="170">
        <v>500</v>
      </c>
      <c r="H18" s="170">
        <v>1000</v>
      </c>
      <c r="I18" s="181"/>
      <c r="J18" s="123" t="s">
        <v>305</v>
      </c>
      <c r="K18" s="75"/>
      <c r="L18" s="68"/>
      <c r="M18" s="68"/>
      <c r="N18" s="68"/>
      <c r="O18" s="68"/>
      <c r="P18" s="68"/>
      <c r="Q18" s="68"/>
      <c r="R18" s="68"/>
      <c r="S18" s="68"/>
      <c r="T18" s="68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2">
        <f t="shared" si="0"/>
        <v>2</v>
      </c>
    </row>
    <row r="19" spans="1:36" ht="30" x14ac:dyDescent="0.25">
      <c r="A19" s="166" t="s">
        <v>261</v>
      </c>
      <c r="B19" s="125" t="s">
        <v>337</v>
      </c>
      <c r="C19" s="167" t="s">
        <v>326</v>
      </c>
      <c r="D19" s="123">
        <v>1</v>
      </c>
      <c r="E19" s="123" t="s">
        <v>36</v>
      </c>
      <c r="F19" s="172" t="s">
        <v>277</v>
      </c>
      <c r="G19" s="170">
        <v>18</v>
      </c>
      <c r="H19" s="170">
        <v>18</v>
      </c>
      <c r="I19" s="182"/>
      <c r="J19" s="123" t="s">
        <v>265</v>
      </c>
      <c r="K19" s="75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132">
        <f t="shared" si="0"/>
        <v>1</v>
      </c>
    </row>
    <row r="20" spans="1:36" ht="30" x14ac:dyDescent="0.25">
      <c r="A20" s="166" t="s">
        <v>261</v>
      </c>
      <c r="B20" s="125" t="s">
        <v>337</v>
      </c>
      <c r="C20" s="167" t="s">
        <v>326</v>
      </c>
      <c r="D20" s="123">
        <v>6</v>
      </c>
      <c r="E20" s="123" t="s">
        <v>36</v>
      </c>
      <c r="F20" s="172" t="s">
        <v>51</v>
      </c>
      <c r="G20" s="170">
        <v>15</v>
      </c>
      <c r="H20" s="170">
        <v>90</v>
      </c>
      <c r="I20" s="182"/>
      <c r="J20" s="123" t="s">
        <v>265</v>
      </c>
      <c r="K20" s="75"/>
      <c r="L20" s="68"/>
      <c r="M20" s="68"/>
      <c r="N20" s="68">
        <v>1</v>
      </c>
      <c r="O20" s="68"/>
      <c r="P20" s="68"/>
      <c r="Q20" s="68"/>
      <c r="R20" s="68"/>
      <c r="S20" s="68"/>
      <c r="T20" s="68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2">
        <f t="shared" si="0"/>
        <v>5</v>
      </c>
    </row>
    <row r="21" spans="1:36" ht="30" x14ac:dyDescent="0.25">
      <c r="A21" s="166" t="s">
        <v>261</v>
      </c>
      <c r="B21" s="125" t="s">
        <v>337</v>
      </c>
      <c r="C21" s="167" t="s">
        <v>326</v>
      </c>
      <c r="D21" s="123">
        <v>6</v>
      </c>
      <c r="E21" s="123" t="s">
        <v>36</v>
      </c>
      <c r="F21" s="172" t="s">
        <v>52</v>
      </c>
      <c r="G21" s="170">
        <v>18</v>
      </c>
      <c r="H21" s="170">
        <v>108</v>
      </c>
      <c r="I21" s="182"/>
      <c r="J21" s="123" t="s">
        <v>265</v>
      </c>
      <c r="K21" s="75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132">
        <f t="shared" si="0"/>
        <v>6</v>
      </c>
    </row>
    <row r="22" spans="1:36" ht="30" x14ac:dyDescent="0.25">
      <c r="A22" s="166" t="s">
        <v>261</v>
      </c>
      <c r="B22" s="125" t="s">
        <v>337</v>
      </c>
      <c r="C22" s="167" t="s">
        <v>326</v>
      </c>
      <c r="D22" s="123">
        <v>1</v>
      </c>
      <c r="E22" s="123" t="s">
        <v>36</v>
      </c>
      <c r="F22" s="173" t="s">
        <v>125</v>
      </c>
      <c r="G22" s="170">
        <v>105</v>
      </c>
      <c r="H22" s="170">
        <v>105</v>
      </c>
      <c r="I22" s="182"/>
      <c r="J22" s="123" t="s">
        <v>305</v>
      </c>
      <c r="K22" s="75"/>
      <c r="L22" s="68"/>
      <c r="M22" s="68"/>
      <c r="N22" s="68"/>
      <c r="O22" s="68"/>
      <c r="P22" s="68"/>
      <c r="Q22" s="68"/>
      <c r="R22" s="68"/>
      <c r="S22" s="68"/>
      <c r="T22" s="68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2">
        <f t="shared" si="0"/>
        <v>1</v>
      </c>
    </row>
    <row r="23" spans="1:36" ht="30" hidden="1" x14ac:dyDescent="0.25">
      <c r="A23" s="166" t="s">
        <v>261</v>
      </c>
      <c r="B23" s="125" t="s">
        <v>337</v>
      </c>
      <c r="C23" s="167" t="s">
        <v>326</v>
      </c>
      <c r="D23" s="167">
        <v>1</v>
      </c>
      <c r="E23" s="167" t="s">
        <v>36</v>
      </c>
      <c r="F23" s="172" t="s">
        <v>197</v>
      </c>
      <c r="G23" s="170">
        <v>40</v>
      </c>
      <c r="H23" s="170">
        <v>40</v>
      </c>
      <c r="I23" s="182"/>
      <c r="J23" s="123" t="s">
        <v>300</v>
      </c>
      <c r="K23" s="167">
        <v>1</v>
      </c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132">
        <f t="shared" si="0"/>
        <v>0</v>
      </c>
    </row>
    <row r="24" spans="1:36" ht="30" hidden="1" x14ac:dyDescent="0.25">
      <c r="A24" s="166" t="s">
        <v>261</v>
      </c>
      <c r="B24" s="125" t="s">
        <v>337</v>
      </c>
      <c r="C24" s="167" t="s">
        <v>326</v>
      </c>
      <c r="D24" s="167">
        <v>1</v>
      </c>
      <c r="E24" s="167" t="s">
        <v>36</v>
      </c>
      <c r="F24" s="172" t="s">
        <v>198</v>
      </c>
      <c r="G24" s="170">
        <v>5.4</v>
      </c>
      <c r="H24" s="170">
        <v>5.4</v>
      </c>
      <c r="I24" s="182"/>
      <c r="J24" s="123" t="s">
        <v>300</v>
      </c>
      <c r="K24" s="167">
        <v>1</v>
      </c>
      <c r="L24" s="68"/>
      <c r="M24" s="68"/>
      <c r="N24" s="68"/>
      <c r="O24" s="68"/>
      <c r="P24" s="68"/>
      <c r="Q24" s="68"/>
      <c r="R24" s="68"/>
      <c r="S24" s="68"/>
      <c r="T24" s="68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2">
        <f t="shared" si="0"/>
        <v>0</v>
      </c>
    </row>
    <row r="25" spans="1:36" ht="30" hidden="1" x14ac:dyDescent="0.25">
      <c r="A25" s="166" t="s">
        <v>261</v>
      </c>
      <c r="B25" s="125" t="s">
        <v>337</v>
      </c>
      <c r="C25" s="167" t="s">
        <v>326</v>
      </c>
      <c r="D25" s="167">
        <v>1</v>
      </c>
      <c r="E25" s="167" t="s">
        <v>36</v>
      </c>
      <c r="F25" s="172" t="s">
        <v>301</v>
      </c>
      <c r="G25" s="170">
        <v>12</v>
      </c>
      <c r="H25" s="170">
        <v>12</v>
      </c>
      <c r="I25" s="182"/>
      <c r="J25" s="123" t="s">
        <v>300</v>
      </c>
      <c r="K25" s="167">
        <v>1</v>
      </c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132">
        <f t="shared" si="0"/>
        <v>0</v>
      </c>
    </row>
    <row r="26" spans="1:36" ht="30" hidden="1" x14ac:dyDescent="0.25">
      <c r="A26" s="166" t="s">
        <v>261</v>
      </c>
      <c r="B26" s="125" t="s">
        <v>337</v>
      </c>
      <c r="C26" s="167" t="s">
        <v>326</v>
      </c>
      <c r="D26" s="167">
        <v>15</v>
      </c>
      <c r="E26" s="167" t="s">
        <v>36</v>
      </c>
      <c r="F26" s="172" t="s">
        <v>90</v>
      </c>
      <c r="G26" s="170">
        <v>2.5</v>
      </c>
      <c r="H26" s="170">
        <v>37.5</v>
      </c>
      <c r="I26" s="182"/>
      <c r="J26" s="123" t="s">
        <v>300</v>
      </c>
      <c r="K26" s="167">
        <v>15</v>
      </c>
      <c r="L26" s="68"/>
      <c r="M26" s="68"/>
      <c r="N26" s="68"/>
      <c r="O26" s="68"/>
      <c r="P26" s="68"/>
      <c r="Q26" s="68"/>
      <c r="R26" s="68"/>
      <c r="S26" s="68"/>
      <c r="T26" s="68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2">
        <f t="shared" si="0"/>
        <v>0</v>
      </c>
    </row>
    <row r="27" spans="1:36" ht="30" hidden="1" x14ac:dyDescent="0.25">
      <c r="A27" s="166" t="s">
        <v>261</v>
      </c>
      <c r="B27" s="125" t="s">
        <v>337</v>
      </c>
      <c r="C27" s="167" t="s">
        <v>326</v>
      </c>
      <c r="D27" s="167">
        <v>50</v>
      </c>
      <c r="E27" s="167" t="s">
        <v>36</v>
      </c>
      <c r="F27" s="172" t="s">
        <v>92</v>
      </c>
      <c r="G27" s="170">
        <v>1.7</v>
      </c>
      <c r="H27" s="170">
        <v>85</v>
      </c>
      <c r="I27" s="182"/>
      <c r="J27" s="123" t="s">
        <v>300</v>
      </c>
      <c r="K27" s="167">
        <v>50</v>
      </c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132">
        <f t="shared" si="0"/>
        <v>0</v>
      </c>
    </row>
    <row r="28" spans="1:36" ht="30" hidden="1" x14ac:dyDescent="0.25">
      <c r="A28" s="166" t="s">
        <v>261</v>
      </c>
      <c r="B28" s="125" t="s">
        <v>337</v>
      </c>
      <c r="C28" s="167" t="s">
        <v>326</v>
      </c>
      <c r="D28" s="167">
        <v>2</v>
      </c>
      <c r="E28" s="167" t="s">
        <v>36</v>
      </c>
      <c r="F28" s="172" t="s">
        <v>94</v>
      </c>
      <c r="G28" s="170">
        <v>31</v>
      </c>
      <c r="H28" s="170">
        <v>62</v>
      </c>
      <c r="I28" s="182"/>
      <c r="J28" s="123" t="s">
        <v>300</v>
      </c>
      <c r="K28" s="167">
        <v>2</v>
      </c>
      <c r="L28" s="68"/>
      <c r="M28" s="68"/>
      <c r="N28" s="68"/>
      <c r="O28" s="68"/>
      <c r="P28" s="68"/>
      <c r="Q28" s="68"/>
      <c r="R28" s="68"/>
      <c r="S28" s="68"/>
      <c r="T28" s="68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2">
        <f t="shared" si="0"/>
        <v>0</v>
      </c>
    </row>
    <row r="29" spans="1:36" ht="30" hidden="1" x14ac:dyDescent="0.25">
      <c r="A29" s="166" t="s">
        <v>261</v>
      </c>
      <c r="B29" s="125" t="s">
        <v>337</v>
      </c>
      <c r="C29" s="167" t="s">
        <v>326</v>
      </c>
      <c r="D29" s="167">
        <v>10</v>
      </c>
      <c r="E29" s="167" t="s">
        <v>36</v>
      </c>
      <c r="F29" s="172" t="s">
        <v>95</v>
      </c>
      <c r="G29" s="170">
        <v>0.5</v>
      </c>
      <c r="H29" s="170">
        <v>5</v>
      </c>
      <c r="I29" s="182"/>
      <c r="J29" s="123" t="s">
        <v>300</v>
      </c>
      <c r="K29" s="167">
        <v>10</v>
      </c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132">
        <f t="shared" si="0"/>
        <v>0</v>
      </c>
    </row>
    <row r="30" spans="1:36" ht="30" hidden="1" x14ac:dyDescent="0.25">
      <c r="A30" s="166" t="s">
        <v>261</v>
      </c>
      <c r="B30" s="125" t="s">
        <v>337</v>
      </c>
      <c r="C30" s="167" t="s">
        <v>326</v>
      </c>
      <c r="D30" s="167">
        <v>10</v>
      </c>
      <c r="E30" s="167" t="s">
        <v>36</v>
      </c>
      <c r="F30" s="172" t="s">
        <v>96</v>
      </c>
      <c r="G30" s="170">
        <v>1</v>
      </c>
      <c r="H30" s="170">
        <v>10</v>
      </c>
      <c r="I30" s="182"/>
      <c r="J30" s="123" t="s">
        <v>300</v>
      </c>
      <c r="K30" s="167">
        <v>10</v>
      </c>
      <c r="L30" s="68"/>
      <c r="M30" s="68"/>
      <c r="N30" s="68"/>
      <c r="O30" s="68"/>
      <c r="P30" s="68"/>
      <c r="Q30" s="68"/>
      <c r="R30" s="68"/>
      <c r="S30" s="68"/>
      <c r="T30" s="68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2">
        <f t="shared" si="0"/>
        <v>0</v>
      </c>
    </row>
    <row r="31" spans="1:36" ht="30" hidden="1" x14ac:dyDescent="0.25">
      <c r="A31" s="166" t="s">
        <v>261</v>
      </c>
      <c r="B31" s="125" t="s">
        <v>337</v>
      </c>
      <c r="C31" s="167" t="s">
        <v>326</v>
      </c>
      <c r="D31" s="167">
        <v>1</v>
      </c>
      <c r="E31" s="167" t="s">
        <v>36</v>
      </c>
      <c r="F31" s="172" t="s">
        <v>302</v>
      </c>
      <c r="G31" s="170">
        <v>18</v>
      </c>
      <c r="H31" s="170">
        <v>18</v>
      </c>
      <c r="I31" s="182"/>
      <c r="J31" s="123" t="s">
        <v>300</v>
      </c>
      <c r="K31" s="167">
        <v>1</v>
      </c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132">
        <f t="shared" si="0"/>
        <v>0</v>
      </c>
    </row>
    <row r="32" spans="1:36" ht="30" hidden="1" x14ac:dyDescent="0.25">
      <c r="A32" s="166" t="s">
        <v>261</v>
      </c>
      <c r="B32" s="125" t="s">
        <v>337</v>
      </c>
      <c r="C32" s="167" t="s">
        <v>326</v>
      </c>
      <c r="D32" s="167">
        <v>1</v>
      </c>
      <c r="E32" s="167" t="s">
        <v>36</v>
      </c>
      <c r="F32" s="172" t="s">
        <v>98</v>
      </c>
      <c r="G32" s="170">
        <v>55</v>
      </c>
      <c r="H32" s="170">
        <v>55</v>
      </c>
      <c r="I32" s="182"/>
      <c r="J32" s="123" t="s">
        <v>300</v>
      </c>
      <c r="K32" s="167">
        <v>1</v>
      </c>
      <c r="L32" s="68"/>
      <c r="M32" s="68"/>
      <c r="N32" s="68"/>
      <c r="O32" s="68"/>
      <c r="P32" s="68"/>
      <c r="Q32" s="68"/>
      <c r="R32" s="68"/>
      <c r="S32" s="68"/>
      <c r="T32" s="68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2">
        <f t="shared" si="0"/>
        <v>0</v>
      </c>
    </row>
    <row r="33" spans="1:36" ht="30" hidden="1" x14ac:dyDescent="0.25">
      <c r="A33" s="166" t="s">
        <v>261</v>
      </c>
      <c r="B33" s="125" t="s">
        <v>337</v>
      </c>
      <c r="C33" s="167" t="s">
        <v>326</v>
      </c>
      <c r="D33" s="167">
        <v>7</v>
      </c>
      <c r="E33" s="167" t="s">
        <v>100</v>
      </c>
      <c r="F33" s="172" t="s">
        <v>99</v>
      </c>
      <c r="G33" s="170">
        <v>75</v>
      </c>
      <c r="H33" s="170">
        <v>525</v>
      </c>
      <c r="I33" s="182"/>
      <c r="J33" s="123" t="s">
        <v>300</v>
      </c>
      <c r="K33" s="167">
        <v>7</v>
      </c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132">
        <f t="shared" si="0"/>
        <v>0</v>
      </c>
    </row>
    <row r="34" spans="1:36" ht="30" hidden="1" x14ac:dyDescent="0.25">
      <c r="A34" s="166" t="s">
        <v>261</v>
      </c>
      <c r="B34" s="125" t="s">
        <v>337</v>
      </c>
      <c r="C34" s="167" t="s">
        <v>326</v>
      </c>
      <c r="D34" s="167">
        <v>20</v>
      </c>
      <c r="E34" s="167" t="s">
        <v>36</v>
      </c>
      <c r="F34" s="172" t="s">
        <v>101</v>
      </c>
      <c r="G34" s="170">
        <v>1</v>
      </c>
      <c r="H34" s="170">
        <v>20</v>
      </c>
      <c r="I34" s="182"/>
      <c r="J34" s="123" t="s">
        <v>300</v>
      </c>
      <c r="K34" s="167">
        <v>20</v>
      </c>
      <c r="L34" s="68"/>
      <c r="M34" s="68"/>
      <c r="N34" s="68"/>
      <c r="O34" s="68"/>
      <c r="P34" s="68"/>
      <c r="Q34" s="68"/>
      <c r="R34" s="68"/>
      <c r="S34" s="68"/>
      <c r="T34" s="68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2">
        <f t="shared" si="0"/>
        <v>0</v>
      </c>
    </row>
    <row r="35" spans="1:36" ht="30" hidden="1" x14ac:dyDescent="0.25">
      <c r="A35" s="166" t="s">
        <v>261</v>
      </c>
      <c r="B35" s="125" t="s">
        <v>337</v>
      </c>
      <c r="C35" s="167" t="s">
        <v>326</v>
      </c>
      <c r="D35" s="167">
        <v>1</v>
      </c>
      <c r="E35" s="167" t="s">
        <v>36</v>
      </c>
      <c r="F35" s="173" t="s">
        <v>303</v>
      </c>
      <c r="G35" s="170">
        <v>26.5</v>
      </c>
      <c r="H35" s="170">
        <v>26.5</v>
      </c>
      <c r="I35" s="182"/>
      <c r="J35" s="123" t="s">
        <v>300</v>
      </c>
      <c r="K35" s="167">
        <v>1</v>
      </c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132">
        <f t="shared" si="0"/>
        <v>0</v>
      </c>
    </row>
    <row r="36" spans="1:36" ht="30" hidden="1" x14ac:dyDescent="0.25">
      <c r="A36" s="166" t="s">
        <v>261</v>
      </c>
      <c r="B36" s="125" t="s">
        <v>337</v>
      </c>
      <c r="C36" s="167" t="s">
        <v>326</v>
      </c>
      <c r="D36" s="167">
        <v>1</v>
      </c>
      <c r="E36" s="167" t="s">
        <v>36</v>
      </c>
      <c r="F36" s="173" t="s">
        <v>304</v>
      </c>
      <c r="G36" s="170">
        <v>47</v>
      </c>
      <c r="H36" s="170">
        <v>47</v>
      </c>
      <c r="I36" s="182"/>
      <c r="J36" s="123" t="s">
        <v>300</v>
      </c>
      <c r="K36" s="167">
        <v>1</v>
      </c>
      <c r="L36" s="68"/>
      <c r="M36" s="68"/>
      <c r="N36" s="68"/>
      <c r="O36" s="68"/>
      <c r="P36" s="68"/>
      <c r="Q36" s="68"/>
      <c r="R36" s="68"/>
      <c r="S36" s="68"/>
      <c r="T36" s="68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2">
        <f t="shared" si="0"/>
        <v>0</v>
      </c>
    </row>
    <row r="37" spans="1:36" ht="30" hidden="1" x14ac:dyDescent="0.25">
      <c r="A37" s="166" t="s">
        <v>261</v>
      </c>
      <c r="B37" s="125" t="s">
        <v>337</v>
      </c>
      <c r="C37" s="167" t="s">
        <v>326</v>
      </c>
      <c r="D37" s="167">
        <v>20</v>
      </c>
      <c r="E37" s="167" t="s">
        <v>36</v>
      </c>
      <c r="F37" s="173" t="s">
        <v>106</v>
      </c>
      <c r="G37" s="170">
        <v>0.3</v>
      </c>
      <c r="H37" s="170">
        <v>6</v>
      </c>
      <c r="I37" s="182"/>
      <c r="J37" s="123" t="s">
        <v>300</v>
      </c>
      <c r="K37" s="167">
        <v>20</v>
      </c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132">
        <f t="shared" si="0"/>
        <v>0</v>
      </c>
    </row>
    <row r="38" spans="1:36" ht="30" hidden="1" x14ac:dyDescent="0.25">
      <c r="A38" s="166" t="s">
        <v>261</v>
      </c>
      <c r="B38" s="125" t="s">
        <v>337</v>
      </c>
      <c r="C38" s="167" t="s">
        <v>326</v>
      </c>
      <c r="D38" s="167">
        <v>1</v>
      </c>
      <c r="E38" s="167" t="s">
        <v>36</v>
      </c>
      <c r="F38" s="173" t="s">
        <v>107</v>
      </c>
      <c r="G38" s="170">
        <v>15</v>
      </c>
      <c r="H38" s="170">
        <v>15</v>
      </c>
      <c r="I38" s="182"/>
      <c r="J38" s="123" t="s">
        <v>300</v>
      </c>
      <c r="K38" s="167">
        <v>1</v>
      </c>
      <c r="L38" s="68"/>
      <c r="M38" s="68"/>
      <c r="N38" s="68"/>
      <c r="O38" s="68"/>
      <c r="P38" s="68"/>
      <c r="Q38" s="68"/>
      <c r="R38" s="68"/>
      <c r="S38" s="68"/>
      <c r="T38" s="68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2">
        <f t="shared" si="0"/>
        <v>0</v>
      </c>
    </row>
    <row r="39" spans="1:36" ht="30" hidden="1" x14ac:dyDescent="0.25">
      <c r="A39" s="166" t="s">
        <v>261</v>
      </c>
      <c r="B39" s="125" t="s">
        <v>337</v>
      </c>
      <c r="C39" s="167" t="s">
        <v>326</v>
      </c>
      <c r="D39" s="167">
        <v>1</v>
      </c>
      <c r="E39" s="167" t="s">
        <v>36</v>
      </c>
      <c r="F39" s="173" t="s">
        <v>109</v>
      </c>
      <c r="G39" s="170">
        <v>93</v>
      </c>
      <c r="H39" s="170">
        <v>93</v>
      </c>
      <c r="I39" s="182"/>
      <c r="J39" s="123" t="s">
        <v>300</v>
      </c>
      <c r="K39" s="167">
        <v>1</v>
      </c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132">
        <f t="shared" si="0"/>
        <v>0</v>
      </c>
    </row>
    <row r="40" spans="1:36" ht="30" hidden="1" x14ac:dyDescent="0.25">
      <c r="A40" s="166" t="s">
        <v>261</v>
      </c>
      <c r="B40" s="125" t="s">
        <v>337</v>
      </c>
      <c r="C40" s="167" t="s">
        <v>326</v>
      </c>
      <c r="D40" s="167">
        <v>1</v>
      </c>
      <c r="E40" s="167" t="s">
        <v>36</v>
      </c>
      <c r="F40" s="173" t="s">
        <v>200</v>
      </c>
      <c r="G40" s="170">
        <v>7</v>
      </c>
      <c r="H40" s="170">
        <v>7</v>
      </c>
      <c r="I40" s="182"/>
      <c r="J40" s="123" t="s">
        <v>300</v>
      </c>
      <c r="K40" s="167">
        <v>1</v>
      </c>
      <c r="L40" s="68"/>
      <c r="M40" s="68"/>
      <c r="N40" s="68"/>
      <c r="O40" s="68"/>
      <c r="P40" s="68"/>
      <c r="Q40" s="68"/>
      <c r="R40" s="68"/>
      <c r="S40" s="68"/>
      <c r="T40" s="68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2">
        <f t="shared" si="0"/>
        <v>0</v>
      </c>
    </row>
    <row r="41" spans="1:36" ht="30" hidden="1" x14ac:dyDescent="0.25">
      <c r="A41" s="166" t="s">
        <v>261</v>
      </c>
      <c r="B41" s="125" t="s">
        <v>337</v>
      </c>
      <c r="C41" s="167" t="s">
        <v>326</v>
      </c>
      <c r="D41" s="167">
        <v>1</v>
      </c>
      <c r="E41" s="167" t="s">
        <v>36</v>
      </c>
      <c r="F41" s="173" t="s">
        <v>201</v>
      </c>
      <c r="G41" s="170">
        <v>5</v>
      </c>
      <c r="H41" s="170">
        <v>5</v>
      </c>
      <c r="I41" s="182"/>
      <c r="J41" s="123" t="s">
        <v>300</v>
      </c>
      <c r="K41" s="167">
        <v>1</v>
      </c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132">
        <f t="shared" si="0"/>
        <v>0</v>
      </c>
    </row>
    <row r="42" spans="1:36" ht="30" hidden="1" x14ac:dyDescent="0.25">
      <c r="A42" s="166" t="s">
        <v>261</v>
      </c>
      <c r="B42" s="125" t="s">
        <v>337</v>
      </c>
      <c r="C42" s="167" t="s">
        <v>326</v>
      </c>
      <c r="D42" s="167">
        <v>2</v>
      </c>
      <c r="E42" s="167" t="s">
        <v>100</v>
      </c>
      <c r="F42" s="173" t="s">
        <v>345</v>
      </c>
      <c r="G42" s="170">
        <v>25</v>
      </c>
      <c r="H42" s="170">
        <v>50</v>
      </c>
      <c r="I42" s="182"/>
      <c r="J42" s="123" t="s">
        <v>300</v>
      </c>
      <c r="K42" s="167">
        <v>2</v>
      </c>
      <c r="L42" s="68"/>
      <c r="M42" s="68"/>
      <c r="N42" s="68"/>
      <c r="O42" s="68"/>
      <c r="P42" s="68"/>
      <c r="Q42" s="68"/>
      <c r="R42" s="68"/>
      <c r="S42" s="68"/>
      <c r="T42" s="68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2">
        <f t="shared" si="0"/>
        <v>0</v>
      </c>
    </row>
    <row r="43" spans="1:36" ht="30" hidden="1" x14ac:dyDescent="0.25">
      <c r="A43" s="166" t="s">
        <v>261</v>
      </c>
      <c r="B43" s="125" t="s">
        <v>337</v>
      </c>
      <c r="C43" s="167" t="s">
        <v>326</v>
      </c>
      <c r="D43" s="167">
        <v>1</v>
      </c>
      <c r="E43" s="167" t="s">
        <v>100</v>
      </c>
      <c r="F43" s="173" t="s">
        <v>113</v>
      </c>
      <c r="G43" s="170">
        <v>40</v>
      </c>
      <c r="H43" s="170">
        <v>40</v>
      </c>
      <c r="I43" s="182"/>
      <c r="J43" s="123" t="s">
        <v>300</v>
      </c>
      <c r="K43" s="167">
        <v>1</v>
      </c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132">
        <f t="shared" si="0"/>
        <v>0</v>
      </c>
    </row>
    <row r="44" spans="1:36" ht="30" hidden="1" x14ac:dyDescent="0.25">
      <c r="A44" s="166" t="s">
        <v>261</v>
      </c>
      <c r="B44" s="125" t="s">
        <v>337</v>
      </c>
      <c r="C44" s="167" t="s">
        <v>326</v>
      </c>
      <c r="D44" s="167">
        <v>2</v>
      </c>
      <c r="E44" s="167" t="s">
        <v>100</v>
      </c>
      <c r="F44" s="173" t="s">
        <v>114</v>
      </c>
      <c r="G44" s="170">
        <v>16.5</v>
      </c>
      <c r="H44" s="170">
        <v>33</v>
      </c>
      <c r="I44" s="182"/>
      <c r="J44" s="123" t="s">
        <v>300</v>
      </c>
      <c r="K44" s="167">
        <v>2</v>
      </c>
      <c r="L44" s="68"/>
      <c r="M44" s="68"/>
      <c r="N44" s="68"/>
      <c r="O44" s="68"/>
      <c r="P44" s="68"/>
      <c r="Q44" s="68"/>
      <c r="R44" s="68"/>
      <c r="S44" s="68"/>
      <c r="T44" s="68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2">
        <f t="shared" si="0"/>
        <v>0</v>
      </c>
    </row>
    <row r="45" spans="1:36" ht="30" x14ac:dyDescent="0.25">
      <c r="A45" s="166" t="s">
        <v>261</v>
      </c>
      <c r="B45" s="125" t="s">
        <v>337</v>
      </c>
      <c r="C45" s="167" t="s">
        <v>326</v>
      </c>
      <c r="D45" s="123">
        <v>60</v>
      </c>
      <c r="E45" s="123" t="s">
        <v>36</v>
      </c>
      <c r="F45" s="172" t="s">
        <v>349</v>
      </c>
      <c r="G45" s="170">
        <v>100</v>
      </c>
      <c r="H45" s="170">
        <v>6000</v>
      </c>
      <c r="I45" s="182"/>
      <c r="J45" s="123" t="s">
        <v>305</v>
      </c>
      <c r="K45" s="165"/>
      <c r="L45" s="68"/>
      <c r="M45" s="68">
        <v>1</v>
      </c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132">
        <f t="shared" si="0"/>
        <v>59</v>
      </c>
    </row>
    <row r="46" spans="1:36" ht="30" x14ac:dyDescent="0.25">
      <c r="A46" s="166" t="s">
        <v>261</v>
      </c>
      <c r="B46" s="125" t="s">
        <v>325</v>
      </c>
      <c r="C46" s="167" t="s">
        <v>326</v>
      </c>
      <c r="D46" s="168">
        <v>8</v>
      </c>
      <c r="E46" s="168" t="s">
        <v>36</v>
      </c>
      <c r="F46" s="171" t="s">
        <v>329</v>
      </c>
      <c r="G46" s="170">
        <v>105</v>
      </c>
      <c r="H46" s="170">
        <v>840</v>
      </c>
      <c r="I46" s="182"/>
      <c r="J46" s="123" t="s">
        <v>305</v>
      </c>
      <c r="K46" s="165"/>
      <c r="L46" s="68"/>
      <c r="M46" s="68"/>
      <c r="N46" s="68"/>
      <c r="O46" s="68"/>
      <c r="P46" s="68"/>
      <c r="Q46" s="68"/>
      <c r="R46" s="68"/>
      <c r="S46" s="68"/>
      <c r="T46" s="68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2">
        <f t="shared" si="0"/>
        <v>8</v>
      </c>
    </row>
    <row r="47" spans="1:36" ht="30" x14ac:dyDescent="0.25">
      <c r="A47" s="166" t="s">
        <v>261</v>
      </c>
      <c r="B47" s="125" t="s">
        <v>337</v>
      </c>
      <c r="C47" s="167" t="s">
        <v>326</v>
      </c>
      <c r="D47" s="123">
        <v>10</v>
      </c>
      <c r="E47" s="123" t="s">
        <v>36</v>
      </c>
      <c r="F47" s="172" t="s">
        <v>308</v>
      </c>
      <c r="G47" s="170">
        <v>16</v>
      </c>
      <c r="H47" s="170">
        <v>160</v>
      </c>
      <c r="I47" s="182"/>
      <c r="J47" s="123" t="s">
        <v>265</v>
      </c>
      <c r="K47" s="165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132">
        <f t="shared" si="0"/>
        <v>10</v>
      </c>
    </row>
    <row r="48" spans="1:36" ht="30" x14ac:dyDescent="0.25">
      <c r="A48" s="166" t="s">
        <v>261</v>
      </c>
      <c r="B48" s="125" t="s">
        <v>337</v>
      </c>
      <c r="C48" s="167" t="s">
        <v>326</v>
      </c>
      <c r="D48" s="123">
        <v>50</v>
      </c>
      <c r="E48" s="123" t="s">
        <v>36</v>
      </c>
      <c r="F48" s="173" t="s">
        <v>206</v>
      </c>
      <c r="G48" s="170">
        <v>7</v>
      </c>
      <c r="H48" s="170">
        <v>350</v>
      </c>
      <c r="I48" s="182"/>
      <c r="J48" s="123" t="s">
        <v>305</v>
      </c>
      <c r="K48" s="165"/>
      <c r="L48" s="68"/>
      <c r="M48" s="68">
        <v>1</v>
      </c>
      <c r="N48" s="68"/>
      <c r="O48" s="68"/>
      <c r="P48" s="68"/>
      <c r="Q48" s="68"/>
      <c r="R48" s="68"/>
      <c r="S48" s="68"/>
      <c r="T48" s="68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2">
        <f t="shared" si="0"/>
        <v>49</v>
      </c>
    </row>
    <row r="49" spans="1:36" ht="30" x14ac:dyDescent="0.25">
      <c r="A49" s="166" t="s">
        <v>261</v>
      </c>
      <c r="B49" s="125" t="s">
        <v>325</v>
      </c>
      <c r="C49" s="167" t="s">
        <v>326</v>
      </c>
      <c r="D49" s="168">
        <v>30</v>
      </c>
      <c r="E49" s="168" t="s">
        <v>327</v>
      </c>
      <c r="F49" s="171" t="s">
        <v>328</v>
      </c>
      <c r="G49" s="170">
        <v>15</v>
      </c>
      <c r="H49" s="170">
        <v>450</v>
      </c>
      <c r="I49" s="182"/>
      <c r="J49" s="123" t="s">
        <v>305</v>
      </c>
      <c r="K49" s="165"/>
      <c r="L49" s="68"/>
      <c r="M49" s="68">
        <v>1</v>
      </c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132">
        <f t="shared" si="0"/>
        <v>29</v>
      </c>
    </row>
    <row r="50" spans="1:36" ht="30" x14ac:dyDescent="0.25">
      <c r="A50" s="166" t="s">
        <v>261</v>
      </c>
      <c r="B50" s="125" t="s">
        <v>337</v>
      </c>
      <c r="C50" s="167" t="s">
        <v>326</v>
      </c>
      <c r="D50" s="123">
        <v>220</v>
      </c>
      <c r="E50" s="123" t="s">
        <v>121</v>
      </c>
      <c r="F50" s="173" t="s">
        <v>127</v>
      </c>
      <c r="G50" s="170">
        <v>8</v>
      </c>
      <c r="H50" s="170">
        <v>1760</v>
      </c>
      <c r="I50" s="182"/>
      <c r="J50" s="123" t="s">
        <v>305</v>
      </c>
      <c r="K50" s="165"/>
      <c r="L50" s="68"/>
      <c r="M50" s="68"/>
      <c r="N50" s="68">
        <v>20</v>
      </c>
      <c r="O50" s="68"/>
      <c r="P50" s="68"/>
      <c r="Q50" s="68"/>
      <c r="R50" s="68"/>
      <c r="S50" s="68"/>
      <c r="T50" s="68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2">
        <f t="shared" si="0"/>
        <v>200</v>
      </c>
    </row>
    <row r="51" spans="1:36" ht="30" x14ac:dyDescent="0.25">
      <c r="A51" s="166" t="s">
        <v>261</v>
      </c>
      <c r="B51" s="125" t="s">
        <v>337</v>
      </c>
      <c r="C51" s="167" t="s">
        <v>326</v>
      </c>
      <c r="D51" s="123">
        <v>300</v>
      </c>
      <c r="E51" s="123" t="s">
        <v>36</v>
      </c>
      <c r="F51" s="172" t="s">
        <v>56</v>
      </c>
      <c r="G51" s="170">
        <v>5.4</v>
      </c>
      <c r="H51" s="170">
        <v>1620</v>
      </c>
      <c r="I51" s="182"/>
      <c r="J51" s="123" t="s">
        <v>265</v>
      </c>
      <c r="K51" s="165"/>
      <c r="L51" s="68"/>
      <c r="M51" s="68">
        <v>30</v>
      </c>
      <c r="N51" s="68">
        <v>50</v>
      </c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132">
        <f t="shared" si="0"/>
        <v>220</v>
      </c>
    </row>
    <row r="52" spans="1:36" ht="30" x14ac:dyDescent="0.25">
      <c r="A52" s="166" t="s">
        <v>261</v>
      </c>
      <c r="B52" s="125" t="s">
        <v>325</v>
      </c>
      <c r="C52" s="167" t="s">
        <v>326</v>
      </c>
      <c r="D52" s="168">
        <v>1</v>
      </c>
      <c r="E52" s="168" t="s">
        <v>59</v>
      </c>
      <c r="F52" s="171" t="s">
        <v>58</v>
      </c>
      <c r="G52" s="170">
        <v>30</v>
      </c>
      <c r="H52" s="170">
        <v>30</v>
      </c>
      <c r="I52" s="182"/>
      <c r="J52" s="123" t="s">
        <v>265</v>
      </c>
      <c r="K52" s="165"/>
      <c r="L52" s="68"/>
      <c r="M52" s="68"/>
      <c r="N52" s="68"/>
      <c r="O52" s="68"/>
      <c r="P52" s="68"/>
      <c r="Q52" s="68"/>
      <c r="R52" s="68"/>
      <c r="S52" s="68"/>
      <c r="T52" s="68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2">
        <f t="shared" si="0"/>
        <v>1</v>
      </c>
    </row>
    <row r="53" spans="1:36" ht="30" x14ac:dyDescent="0.25">
      <c r="A53" s="166" t="s">
        <v>261</v>
      </c>
      <c r="B53" s="125" t="s">
        <v>337</v>
      </c>
      <c r="C53" s="167" t="s">
        <v>326</v>
      </c>
      <c r="D53" s="123">
        <v>5</v>
      </c>
      <c r="E53" s="123" t="s">
        <v>59</v>
      </c>
      <c r="F53" s="172" t="s">
        <v>58</v>
      </c>
      <c r="G53" s="170">
        <v>30</v>
      </c>
      <c r="H53" s="170">
        <v>150</v>
      </c>
      <c r="I53" s="182"/>
      <c r="J53" s="123" t="s">
        <v>265</v>
      </c>
      <c r="K53" s="165"/>
      <c r="L53" s="68"/>
      <c r="M53" s="68">
        <v>15</v>
      </c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132">
        <f t="shared" si="0"/>
        <v>-10</v>
      </c>
    </row>
    <row r="54" spans="1:36" ht="30" x14ac:dyDescent="0.25">
      <c r="A54" s="166" t="s">
        <v>261</v>
      </c>
      <c r="B54" s="125" t="s">
        <v>325</v>
      </c>
      <c r="C54" s="167" t="s">
        <v>326</v>
      </c>
      <c r="D54" s="168">
        <v>1</v>
      </c>
      <c r="E54" s="168" t="s">
        <v>36</v>
      </c>
      <c r="F54" s="171" t="s">
        <v>128</v>
      </c>
      <c r="G54" s="170">
        <v>16</v>
      </c>
      <c r="H54" s="170">
        <v>16</v>
      </c>
      <c r="I54" s="182"/>
      <c r="J54" s="123" t="s">
        <v>305</v>
      </c>
      <c r="K54" s="165"/>
      <c r="L54" s="68"/>
      <c r="M54" s="68">
        <v>40</v>
      </c>
      <c r="N54" s="68"/>
      <c r="O54" s="68"/>
      <c r="P54" s="68"/>
      <c r="Q54" s="68"/>
      <c r="R54" s="68"/>
      <c r="S54" s="68"/>
      <c r="T54" s="68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2">
        <f t="shared" si="0"/>
        <v>-39</v>
      </c>
    </row>
    <row r="55" spans="1:36" ht="30" x14ac:dyDescent="0.25">
      <c r="A55" s="166" t="s">
        <v>261</v>
      </c>
      <c r="B55" s="125" t="s">
        <v>337</v>
      </c>
      <c r="C55" s="167" t="s">
        <v>326</v>
      </c>
      <c r="D55" s="123">
        <v>8</v>
      </c>
      <c r="E55" s="123" t="s">
        <v>36</v>
      </c>
      <c r="F55" s="173" t="s">
        <v>351</v>
      </c>
      <c r="G55" s="170">
        <v>12</v>
      </c>
      <c r="H55" s="170">
        <v>96</v>
      </c>
      <c r="I55" s="182"/>
      <c r="J55" s="123" t="s">
        <v>305</v>
      </c>
      <c r="K55" s="165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132">
        <f t="shared" si="0"/>
        <v>8</v>
      </c>
    </row>
    <row r="56" spans="1:36" ht="30" x14ac:dyDescent="0.25">
      <c r="A56" s="166" t="s">
        <v>261</v>
      </c>
      <c r="B56" s="125" t="s">
        <v>325</v>
      </c>
      <c r="C56" s="167" t="s">
        <v>326</v>
      </c>
      <c r="D56" s="168">
        <v>2</v>
      </c>
      <c r="E56" s="168" t="s">
        <v>36</v>
      </c>
      <c r="F56" s="171" t="s">
        <v>344</v>
      </c>
      <c r="G56" s="170">
        <v>25</v>
      </c>
      <c r="H56" s="170">
        <v>50</v>
      </c>
      <c r="I56" s="182"/>
      <c r="J56" s="123" t="s">
        <v>265</v>
      </c>
      <c r="K56" s="165"/>
      <c r="L56" s="68"/>
      <c r="M56" s="68"/>
      <c r="N56" s="68"/>
      <c r="O56" s="68"/>
      <c r="P56" s="68"/>
      <c r="Q56" s="68"/>
      <c r="R56" s="68"/>
      <c r="S56" s="68"/>
      <c r="T56" s="68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2">
        <f t="shared" si="0"/>
        <v>2</v>
      </c>
    </row>
    <row r="57" spans="1:36" ht="30" x14ac:dyDescent="0.25">
      <c r="A57" s="166" t="s">
        <v>261</v>
      </c>
      <c r="B57" s="125" t="s">
        <v>337</v>
      </c>
      <c r="C57" s="167" t="s">
        <v>326</v>
      </c>
      <c r="D57" s="123">
        <v>7</v>
      </c>
      <c r="E57" s="123" t="s">
        <v>29</v>
      </c>
      <c r="F57" s="172" t="s">
        <v>129</v>
      </c>
      <c r="G57" s="170">
        <v>42</v>
      </c>
      <c r="H57" s="174">
        <v>294</v>
      </c>
      <c r="I57" s="182"/>
      <c r="J57" s="123" t="s">
        <v>305</v>
      </c>
      <c r="K57" s="165"/>
      <c r="L57" s="68"/>
      <c r="M57" s="68">
        <v>10</v>
      </c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132">
        <f t="shared" si="0"/>
        <v>-3</v>
      </c>
    </row>
    <row r="58" spans="1:36" ht="30" x14ac:dyDescent="0.25">
      <c r="A58" s="166" t="s">
        <v>261</v>
      </c>
      <c r="B58" s="125" t="s">
        <v>337</v>
      </c>
      <c r="C58" s="167" t="s">
        <v>326</v>
      </c>
      <c r="D58" s="123">
        <v>6</v>
      </c>
      <c r="E58" s="123" t="s">
        <v>36</v>
      </c>
      <c r="F58" s="172" t="s">
        <v>61</v>
      </c>
      <c r="G58" s="170">
        <v>50</v>
      </c>
      <c r="H58" s="170">
        <v>300</v>
      </c>
      <c r="I58" s="182"/>
      <c r="J58" s="123" t="s">
        <v>265</v>
      </c>
      <c r="K58" s="165"/>
      <c r="L58" s="68">
        <v>1</v>
      </c>
      <c r="M58" s="68">
        <v>1</v>
      </c>
      <c r="N58" s="68"/>
      <c r="O58" s="68"/>
      <c r="P58" s="68"/>
      <c r="Q58" s="68"/>
      <c r="R58" s="68"/>
      <c r="S58" s="68"/>
      <c r="T58" s="68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2">
        <f t="shared" si="0"/>
        <v>4</v>
      </c>
    </row>
    <row r="59" spans="1:36" ht="30" x14ac:dyDescent="0.25">
      <c r="A59" s="166" t="s">
        <v>261</v>
      </c>
      <c r="B59" s="125" t="s">
        <v>337</v>
      </c>
      <c r="C59" s="167" t="s">
        <v>326</v>
      </c>
      <c r="D59" s="123">
        <v>8</v>
      </c>
      <c r="E59" s="123" t="s">
        <v>36</v>
      </c>
      <c r="F59" s="172" t="s">
        <v>352</v>
      </c>
      <c r="G59" s="170">
        <v>20</v>
      </c>
      <c r="H59" s="170">
        <v>160</v>
      </c>
      <c r="I59" s="182"/>
      <c r="J59" s="123" t="s">
        <v>265</v>
      </c>
      <c r="K59" s="165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132">
        <f t="shared" si="0"/>
        <v>8</v>
      </c>
    </row>
    <row r="60" spans="1:36" ht="30" x14ac:dyDescent="0.25">
      <c r="A60" s="166" t="s">
        <v>261</v>
      </c>
      <c r="B60" s="125" t="s">
        <v>337</v>
      </c>
      <c r="C60" s="167" t="s">
        <v>326</v>
      </c>
      <c r="D60" s="123">
        <v>3</v>
      </c>
      <c r="E60" s="123" t="s">
        <v>36</v>
      </c>
      <c r="F60" s="172" t="s">
        <v>350</v>
      </c>
      <c r="G60" s="170">
        <v>100</v>
      </c>
      <c r="H60" s="170">
        <v>300</v>
      </c>
      <c r="I60" s="182"/>
      <c r="J60" s="123" t="s">
        <v>305</v>
      </c>
      <c r="K60" s="165"/>
      <c r="L60" s="68">
        <v>2</v>
      </c>
      <c r="M60" s="68">
        <v>1</v>
      </c>
      <c r="N60" s="68"/>
      <c r="O60" s="68"/>
      <c r="P60" s="68"/>
      <c r="Q60" s="68"/>
      <c r="R60" s="68"/>
      <c r="S60" s="68"/>
      <c r="T60" s="68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2">
        <f t="shared" si="0"/>
        <v>0</v>
      </c>
    </row>
    <row r="61" spans="1:36" ht="30" x14ac:dyDescent="0.25">
      <c r="A61" s="166" t="s">
        <v>261</v>
      </c>
      <c r="B61" s="125" t="s">
        <v>325</v>
      </c>
      <c r="C61" s="167" t="s">
        <v>326</v>
      </c>
      <c r="D61" s="168">
        <v>2</v>
      </c>
      <c r="E61" s="168" t="s">
        <v>36</v>
      </c>
      <c r="F61" s="169" t="s">
        <v>269</v>
      </c>
      <c r="G61" s="170">
        <v>95</v>
      </c>
      <c r="H61" s="170">
        <v>190</v>
      </c>
      <c r="I61" s="182"/>
      <c r="J61" s="123" t="s">
        <v>265</v>
      </c>
      <c r="K61" s="165"/>
      <c r="L61" s="68"/>
      <c r="M61" s="68">
        <v>1</v>
      </c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132">
        <f t="shared" si="0"/>
        <v>1</v>
      </c>
    </row>
    <row r="62" spans="1:36" ht="30" x14ac:dyDescent="0.25">
      <c r="A62" s="166" t="s">
        <v>261</v>
      </c>
      <c r="B62" s="125" t="s">
        <v>337</v>
      </c>
      <c r="C62" s="167" t="s">
        <v>326</v>
      </c>
      <c r="D62" s="123">
        <v>20</v>
      </c>
      <c r="E62" s="123" t="s">
        <v>36</v>
      </c>
      <c r="F62" s="172" t="s">
        <v>269</v>
      </c>
      <c r="G62" s="170">
        <v>95</v>
      </c>
      <c r="H62" s="170">
        <v>1900</v>
      </c>
      <c r="I62" s="182"/>
      <c r="J62" s="123" t="s">
        <v>265</v>
      </c>
      <c r="K62" s="165"/>
      <c r="L62" s="68"/>
      <c r="M62" s="68">
        <v>1</v>
      </c>
      <c r="N62" s="68">
        <v>15</v>
      </c>
      <c r="O62" s="68"/>
      <c r="P62" s="68"/>
      <c r="Q62" s="68"/>
      <c r="R62" s="68"/>
      <c r="S62" s="68"/>
      <c r="T62" s="68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2">
        <f t="shared" si="0"/>
        <v>4</v>
      </c>
    </row>
    <row r="63" spans="1:36" ht="30" x14ac:dyDescent="0.25">
      <c r="A63" s="166" t="s">
        <v>261</v>
      </c>
      <c r="B63" s="125" t="s">
        <v>325</v>
      </c>
      <c r="C63" s="167" t="s">
        <v>326</v>
      </c>
      <c r="D63" s="168">
        <v>1</v>
      </c>
      <c r="E63" s="168" t="s">
        <v>36</v>
      </c>
      <c r="F63" s="171" t="s">
        <v>332</v>
      </c>
      <c r="G63" s="170">
        <v>35</v>
      </c>
      <c r="H63" s="170">
        <v>35</v>
      </c>
      <c r="I63" s="182"/>
      <c r="J63" s="123" t="s">
        <v>265</v>
      </c>
      <c r="K63" s="165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132">
        <f t="shared" si="0"/>
        <v>1</v>
      </c>
    </row>
    <row r="64" spans="1:36" ht="30" x14ac:dyDescent="0.25">
      <c r="A64" s="166" t="s">
        <v>261</v>
      </c>
      <c r="B64" s="125" t="s">
        <v>325</v>
      </c>
      <c r="C64" s="167" t="s">
        <v>326</v>
      </c>
      <c r="D64" s="168">
        <v>2</v>
      </c>
      <c r="E64" s="168" t="s">
        <v>36</v>
      </c>
      <c r="F64" s="171" t="s">
        <v>268</v>
      </c>
      <c r="G64" s="170">
        <v>55</v>
      </c>
      <c r="H64" s="170">
        <v>110</v>
      </c>
      <c r="I64" s="182"/>
      <c r="J64" s="123" t="s">
        <v>265</v>
      </c>
      <c r="K64" s="165"/>
      <c r="L64" s="68"/>
      <c r="M64" s="68">
        <v>1</v>
      </c>
      <c r="N64" s="68"/>
      <c r="O64" s="68"/>
      <c r="P64" s="68"/>
      <c r="Q64" s="68"/>
      <c r="R64" s="68"/>
      <c r="S64" s="68"/>
      <c r="T64" s="68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2">
        <f t="shared" si="0"/>
        <v>1</v>
      </c>
    </row>
    <row r="65" spans="1:36" ht="30" x14ac:dyDescent="0.25">
      <c r="A65" s="166" t="s">
        <v>261</v>
      </c>
      <c r="B65" s="125" t="s">
        <v>337</v>
      </c>
      <c r="C65" s="167" t="s">
        <v>326</v>
      </c>
      <c r="D65" s="123">
        <v>35</v>
      </c>
      <c r="E65" s="123" t="s">
        <v>36</v>
      </c>
      <c r="F65" s="172" t="s">
        <v>268</v>
      </c>
      <c r="G65" s="170">
        <v>55</v>
      </c>
      <c r="H65" s="170">
        <v>1925</v>
      </c>
      <c r="I65" s="182"/>
      <c r="J65" s="123" t="s">
        <v>265</v>
      </c>
      <c r="K65" s="165"/>
      <c r="L65" s="68"/>
      <c r="M65" s="68"/>
      <c r="N65" s="68">
        <v>15</v>
      </c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132">
        <f t="shared" si="0"/>
        <v>20</v>
      </c>
    </row>
    <row r="66" spans="1:36" ht="30" x14ac:dyDescent="0.25">
      <c r="A66" s="166" t="s">
        <v>261</v>
      </c>
      <c r="B66" s="125" t="s">
        <v>337</v>
      </c>
      <c r="C66" s="167" t="s">
        <v>326</v>
      </c>
      <c r="D66" s="123">
        <v>100</v>
      </c>
      <c r="E66" s="123" t="s">
        <v>36</v>
      </c>
      <c r="F66" s="172" t="s">
        <v>66</v>
      </c>
      <c r="G66" s="170">
        <v>24</v>
      </c>
      <c r="H66" s="170">
        <v>2400</v>
      </c>
      <c r="I66" s="182"/>
      <c r="J66" s="123" t="s">
        <v>265</v>
      </c>
      <c r="K66" s="75"/>
      <c r="L66" s="68"/>
      <c r="M66" s="68">
        <v>1</v>
      </c>
      <c r="N66" s="68">
        <v>24</v>
      </c>
      <c r="O66" s="68"/>
      <c r="P66" s="68"/>
      <c r="Q66" s="68"/>
      <c r="R66" s="68"/>
      <c r="S66" s="68"/>
      <c r="T66" s="68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2">
        <f t="shared" si="0"/>
        <v>75</v>
      </c>
    </row>
    <row r="67" spans="1:36" ht="30" x14ac:dyDescent="0.25">
      <c r="A67" s="166" t="s">
        <v>261</v>
      </c>
      <c r="B67" s="125" t="s">
        <v>325</v>
      </c>
      <c r="C67" s="167" t="s">
        <v>326</v>
      </c>
      <c r="D67" s="168">
        <v>2</v>
      </c>
      <c r="E67" s="168" t="s">
        <v>36</v>
      </c>
      <c r="F67" s="171" t="s">
        <v>130</v>
      </c>
      <c r="G67" s="170">
        <v>15</v>
      </c>
      <c r="H67" s="170">
        <v>30</v>
      </c>
      <c r="I67" s="182"/>
      <c r="J67" s="123" t="s">
        <v>305</v>
      </c>
      <c r="K67" s="75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132">
        <f t="shared" ref="AJ67:AJ92" si="1">D67-(SUM(K67:AH67))</f>
        <v>2</v>
      </c>
    </row>
    <row r="68" spans="1:36" ht="30" x14ac:dyDescent="0.25">
      <c r="A68" s="166" t="s">
        <v>261</v>
      </c>
      <c r="B68" s="125" t="s">
        <v>337</v>
      </c>
      <c r="C68" s="167" t="s">
        <v>326</v>
      </c>
      <c r="D68" s="123">
        <v>40</v>
      </c>
      <c r="E68" s="123" t="s">
        <v>36</v>
      </c>
      <c r="F68" s="172" t="s">
        <v>130</v>
      </c>
      <c r="G68" s="170">
        <v>22</v>
      </c>
      <c r="H68" s="170">
        <v>880</v>
      </c>
      <c r="I68" s="182"/>
      <c r="J68" s="123" t="s">
        <v>305</v>
      </c>
      <c r="K68" s="75"/>
      <c r="L68" s="68"/>
      <c r="M68" s="68"/>
      <c r="N68" s="68"/>
      <c r="O68" s="68"/>
      <c r="P68" s="68"/>
      <c r="Q68" s="68"/>
      <c r="R68" s="68"/>
      <c r="S68" s="68"/>
      <c r="T68" s="68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2">
        <f t="shared" si="1"/>
        <v>40</v>
      </c>
    </row>
    <row r="69" spans="1:36" ht="30" x14ac:dyDescent="0.25">
      <c r="A69" s="166" t="s">
        <v>261</v>
      </c>
      <c r="B69" s="125" t="s">
        <v>337</v>
      </c>
      <c r="C69" s="167" t="s">
        <v>326</v>
      </c>
      <c r="D69" s="123">
        <v>2</v>
      </c>
      <c r="E69" s="123" t="s">
        <v>46</v>
      </c>
      <c r="F69" s="172" t="s">
        <v>270</v>
      </c>
      <c r="G69" s="170">
        <v>25</v>
      </c>
      <c r="H69" s="170">
        <v>50</v>
      </c>
      <c r="I69" s="182"/>
      <c r="J69" s="123" t="s">
        <v>265</v>
      </c>
      <c r="K69" s="75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132">
        <f t="shared" si="1"/>
        <v>2</v>
      </c>
    </row>
    <row r="70" spans="1:36" ht="30" x14ac:dyDescent="0.25">
      <c r="A70" s="166" t="s">
        <v>261</v>
      </c>
      <c r="B70" s="125" t="s">
        <v>325</v>
      </c>
      <c r="C70" s="167" t="s">
        <v>326</v>
      </c>
      <c r="D70" s="168">
        <v>2</v>
      </c>
      <c r="E70" s="168" t="s">
        <v>36</v>
      </c>
      <c r="F70" s="171" t="s">
        <v>333</v>
      </c>
      <c r="G70" s="170">
        <v>12</v>
      </c>
      <c r="H70" s="170">
        <v>24</v>
      </c>
      <c r="I70" s="182"/>
      <c r="J70" s="123" t="s">
        <v>265</v>
      </c>
      <c r="K70" s="75"/>
      <c r="L70" s="68"/>
      <c r="M70" s="68"/>
      <c r="N70" s="68"/>
      <c r="O70" s="68"/>
      <c r="P70" s="68"/>
      <c r="Q70" s="68"/>
      <c r="R70" s="68"/>
      <c r="S70" s="68"/>
      <c r="T70" s="68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2">
        <f t="shared" si="1"/>
        <v>2</v>
      </c>
    </row>
    <row r="71" spans="1:36" ht="45" x14ac:dyDescent="0.25">
      <c r="A71" s="166" t="s">
        <v>261</v>
      </c>
      <c r="B71" s="125" t="s">
        <v>337</v>
      </c>
      <c r="C71" s="167" t="s">
        <v>326</v>
      </c>
      <c r="D71" s="123">
        <v>100</v>
      </c>
      <c r="E71" s="123" t="s">
        <v>74</v>
      </c>
      <c r="F71" s="172" t="s">
        <v>73</v>
      </c>
      <c r="G71" s="170">
        <v>3</v>
      </c>
      <c r="H71" s="170">
        <v>300</v>
      </c>
      <c r="I71" s="182"/>
      <c r="J71" s="123" t="s">
        <v>265</v>
      </c>
      <c r="K71" s="75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132">
        <f t="shared" si="1"/>
        <v>100</v>
      </c>
    </row>
    <row r="72" spans="1:36" ht="30" x14ac:dyDescent="0.25">
      <c r="A72" s="166" t="s">
        <v>261</v>
      </c>
      <c r="B72" s="125" t="s">
        <v>334</v>
      </c>
      <c r="C72" s="167" t="s">
        <v>326</v>
      </c>
      <c r="D72" s="168">
        <v>1</v>
      </c>
      <c r="E72" s="168" t="s">
        <v>36</v>
      </c>
      <c r="F72" s="171" t="s">
        <v>336</v>
      </c>
      <c r="G72" s="170">
        <v>20</v>
      </c>
      <c r="H72" s="170">
        <v>20</v>
      </c>
      <c r="I72" s="182"/>
      <c r="J72" s="123" t="s">
        <v>265</v>
      </c>
      <c r="K72" s="75"/>
      <c r="L72" s="68"/>
      <c r="M72" s="68"/>
      <c r="N72" s="68"/>
      <c r="O72" s="68"/>
      <c r="P72" s="68"/>
      <c r="Q72" s="68"/>
      <c r="R72" s="68"/>
      <c r="S72" s="68"/>
      <c r="T72" s="68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2">
        <f t="shared" si="1"/>
        <v>1</v>
      </c>
    </row>
    <row r="73" spans="1:36" ht="30" x14ac:dyDescent="0.25">
      <c r="A73" s="166" t="s">
        <v>261</v>
      </c>
      <c r="B73" s="125" t="s">
        <v>337</v>
      </c>
      <c r="C73" s="167" t="s">
        <v>326</v>
      </c>
      <c r="D73" s="123">
        <v>1</v>
      </c>
      <c r="E73" s="123" t="s">
        <v>36</v>
      </c>
      <c r="F73" s="172" t="s">
        <v>75</v>
      </c>
      <c r="G73" s="170">
        <v>170</v>
      </c>
      <c r="H73" s="170">
        <v>170</v>
      </c>
      <c r="I73" s="182"/>
      <c r="J73" s="123" t="s">
        <v>265</v>
      </c>
      <c r="K73" s="75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132">
        <f t="shared" si="1"/>
        <v>1</v>
      </c>
    </row>
    <row r="74" spans="1:36" ht="30" x14ac:dyDescent="0.25">
      <c r="A74" s="166" t="s">
        <v>261</v>
      </c>
      <c r="B74" s="125" t="s">
        <v>325</v>
      </c>
      <c r="C74" s="167" t="s">
        <v>326</v>
      </c>
      <c r="D74" s="168">
        <v>1</v>
      </c>
      <c r="E74" s="168" t="s">
        <v>36</v>
      </c>
      <c r="F74" s="171" t="s">
        <v>342</v>
      </c>
      <c r="G74" s="170">
        <v>500</v>
      </c>
      <c r="H74" s="170">
        <v>500</v>
      </c>
      <c r="I74" s="182"/>
      <c r="J74" s="123" t="s">
        <v>265</v>
      </c>
      <c r="K74" s="75"/>
      <c r="L74" s="68"/>
      <c r="M74" s="68">
        <v>50</v>
      </c>
      <c r="N74" s="68"/>
      <c r="O74" s="68"/>
      <c r="P74" s="68"/>
      <c r="Q74" s="68"/>
      <c r="R74" s="68"/>
      <c r="S74" s="68"/>
      <c r="T74" s="68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2">
        <f t="shared" si="1"/>
        <v>-49</v>
      </c>
    </row>
    <row r="75" spans="1:36" ht="30" x14ac:dyDescent="0.25">
      <c r="A75" s="166" t="s">
        <v>261</v>
      </c>
      <c r="B75" s="125" t="s">
        <v>334</v>
      </c>
      <c r="C75" s="167" t="s">
        <v>326</v>
      </c>
      <c r="D75" s="168">
        <v>1</v>
      </c>
      <c r="E75" s="168" t="s">
        <v>36</v>
      </c>
      <c r="F75" s="171" t="s">
        <v>272</v>
      </c>
      <c r="G75" s="170">
        <v>500</v>
      </c>
      <c r="H75" s="170">
        <v>500</v>
      </c>
      <c r="I75" s="182"/>
      <c r="J75" s="123" t="s">
        <v>265</v>
      </c>
      <c r="K75" s="75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132">
        <f t="shared" si="1"/>
        <v>1</v>
      </c>
    </row>
    <row r="76" spans="1:36" ht="30" x14ac:dyDescent="0.25">
      <c r="A76" s="166" t="s">
        <v>261</v>
      </c>
      <c r="B76" s="125" t="s">
        <v>337</v>
      </c>
      <c r="C76" s="167" t="s">
        <v>326</v>
      </c>
      <c r="D76" s="123">
        <v>18</v>
      </c>
      <c r="E76" s="123" t="s">
        <v>36</v>
      </c>
      <c r="F76" s="172" t="s">
        <v>272</v>
      </c>
      <c r="G76" s="170">
        <v>500</v>
      </c>
      <c r="H76" s="170">
        <v>9000</v>
      </c>
      <c r="I76" s="182"/>
      <c r="J76" s="123" t="s">
        <v>265</v>
      </c>
      <c r="K76" s="75"/>
      <c r="L76" s="68"/>
      <c r="M76" s="68"/>
      <c r="N76" s="68"/>
      <c r="O76" s="68"/>
      <c r="P76" s="68"/>
      <c r="Q76" s="68"/>
      <c r="R76" s="68"/>
      <c r="S76" s="68"/>
      <c r="T76" s="68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2">
        <f t="shared" si="1"/>
        <v>18</v>
      </c>
    </row>
    <row r="77" spans="1:36" ht="30" x14ac:dyDescent="0.25">
      <c r="A77" s="166" t="s">
        <v>261</v>
      </c>
      <c r="B77" s="125" t="s">
        <v>334</v>
      </c>
      <c r="C77" s="167" t="s">
        <v>326</v>
      </c>
      <c r="D77" s="168">
        <v>2</v>
      </c>
      <c r="E77" s="168" t="s">
        <v>36</v>
      </c>
      <c r="F77" s="171" t="s">
        <v>77</v>
      </c>
      <c r="G77" s="170">
        <v>70</v>
      </c>
      <c r="H77" s="170">
        <v>140</v>
      </c>
      <c r="I77" s="182"/>
      <c r="J77" s="123" t="s">
        <v>265</v>
      </c>
      <c r="K77" s="75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132">
        <f t="shared" si="1"/>
        <v>2</v>
      </c>
    </row>
    <row r="78" spans="1:36" ht="30" x14ac:dyDescent="0.25">
      <c r="A78" s="166" t="s">
        <v>261</v>
      </c>
      <c r="B78" s="125" t="s">
        <v>337</v>
      </c>
      <c r="C78" s="167" t="s">
        <v>326</v>
      </c>
      <c r="D78" s="123">
        <v>60</v>
      </c>
      <c r="E78" s="123" t="s">
        <v>36</v>
      </c>
      <c r="F78" s="172" t="s">
        <v>77</v>
      </c>
      <c r="G78" s="170">
        <v>110</v>
      </c>
      <c r="H78" s="170">
        <v>6600</v>
      </c>
      <c r="I78" s="182"/>
      <c r="J78" s="123" t="s">
        <v>265</v>
      </c>
      <c r="K78" s="75"/>
      <c r="L78" s="68"/>
      <c r="M78" s="68">
        <v>36</v>
      </c>
      <c r="N78" s="68"/>
      <c r="O78" s="68"/>
      <c r="P78" s="68"/>
      <c r="Q78" s="68"/>
      <c r="R78" s="68"/>
      <c r="S78" s="68"/>
      <c r="T78" s="68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2">
        <f t="shared" si="1"/>
        <v>24</v>
      </c>
    </row>
    <row r="79" spans="1:36" ht="30" x14ac:dyDescent="0.25">
      <c r="A79" s="166" t="s">
        <v>261</v>
      </c>
      <c r="B79" s="125" t="s">
        <v>325</v>
      </c>
      <c r="C79" s="167" t="s">
        <v>326</v>
      </c>
      <c r="D79" s="168">
        <v>18</v>
      </c>
      <c r="E79" s="168" t="s">
        <v>36</v>
      </c>
      <c r="F79" s="171" t="s">
        <v>331</v>
      </c>
      <c r="G79" s="170">
        <v>70</v>
      </c>
      <c r="H79" s="170">
        <v>1260</v>
      </c>
      <c r="I79" s="182"/>
      <c r="J79" s="123" t="s">
        <v>265</v>
      </c>
      <c r="K79" s="75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132">
        <f t="shared" si="1"/>
        <v>18</v>
      </c>
    </row>
    <row r="80" spans="1:36" ht="30" x14ac:dyDescent="0.25">
      <c r="A80" s="166" t="s">
        <v>261</v>
      </c>
      <c r="B80" s="125" t="s">
        <v>325</v>
      </c>
      <c r="C80" s="167" t="s">
        <v>326</v>
      </c>
      <c r="D80" s="168">
        <v>1</v>
      </c>
      <c r="E80" s="168" t="s">
        <v>36</v>
      </c>
      <c r="F80" s="171" t="s">
        <v>330</v>
      </c>
      <c r="G80" s="170">
        <v>70</v>
      </c>
      <c r="H80" s="170">
        <v>70</v>
      </c>
      <c r="I80" s="182"/>
      <c r="J80" s="123" t="s">
        <v>305</v>
      </c>
      <c r="K80" s="75"/>
      <c r="L80" s="68"/>
      <c r="M80" s="68"/>
      <c r="N80" s="68"/>
      <c r="O80" s="68"/>
      <c r="P80" s="68"/>
      <c r="Q80" s="68"/>
      <c r="R80" s="68"/>
      <c r="S80" s="68"/>
      <c r="T80" s="68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2">
        <f t="shared" si="1"/>
        <v>1</v>
      </c>
    </row>
    <row r="81" spans="1:36" ht="30" x14ac:dyDescent="0.25">
      <c r="A81" s="166" t="s">
        <v>261</v>
      </c>
      <c r="B81" s="125" t="s">
        <v>337</v>
      </c>
      <c r="C81" s="167" t="s">
        <v>326</v>
      </c>
      <c r="D81" s="123">
        <v>2</v>
      </c>
      <c r="E81" s="123" t="s">
        <v>36</v>
      </c>
      <c r="F81" s="172" t="s">
        <v>347</v>
      </c>
      <c r="G81" s="170">
        <v>325</v>
      </c>
      <c r="H81" s="170">
        <v>650</v>
      </c>
      <c r="I81" s="182"/>
      <c r="J81" s="123" t="s">
        <v>305</v>
      </c>
      <c r="K81" s="75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132">
        <f t="shared" si="1"/>
        <v>2</v>
      </c>
    </row>
    <row r="82" spans="1:36" ht="30" x14ac:dyDescent="0.25">
      <c r="A82" s="166" t="s">
        <v>261</v>
      </c>
      <c r="B82" s="125" t="s">
        <v>334</v>
      </c>
      <c r="C82" s="167" t="s">
        <v>326</v>
      </c>
      <c r="D82" s="168">
        <v>1</v>
      </c>
      <c r="E82" s="168" t="s">
        <v>36</v>
      </c>
      <c r="F82" s="169" t="s">
        <v>335</v>
      </c>
      <c r="G82" s="170">
        <v>20</v>
      </c>
      <c r="H82" s="170">
        <v>20</v>
      </c>
      <c r="I82" s="182"/>
      <c r="J82" s="123" t="s">
        <v>265</v>
      </c>
      <c r="K82" s="183"/>
      <c r="L82" s="68"/>
      <c r="M82" s="123"/>
      <c r="N82" s="68"/>
      <c r="O82" s="68"/>
      <c r="P82" s="68"/>
      <c r="Q82" s="68"/>
      <c r="R82" s="68"/>
      <c r="S82" s="68"/>
      <c r="T82" s="68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2">
        <f t="shared" si="1"/>
        <v>1</v>
      </c>
    </row>
    <row r="83" spans="1:36" ht="30" x14ac:dyDescent="0.25">
      <c r="A83" s="166" t="s">
        <v>261</v>
      </c>
      <c r="B83" s="125" t="s">
        <v>337</v>
      </c>
      <c r="C83" s="167" t="s">
        <v>326</v>
      </c>
      <c r="D83" s="123">
        <v>1</v>
      </c>
      <c r="E83" s="123" t="s">
        <v>36</v>
      </c>
      <c r="F83" s="172" t="s">
        <v>134</v>
      </c>
      <c r="G83" s="170">
        <v>325</v>
      </c>
      <c r="H83" s="170">
        <v>325</v>
      </c>
      <c r="I83" s="182"/>
      <c r="J83" s="123" t="s">
        <v>305</v>
      </c>
      <c r="K83" s="183"/>
      <c r="L83" s="68"/>
      <c r="M83" s="123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132">
        <f t="shared" si="1"/>
        <v>1</v>
      </c>
    </row>
    <row r="84" spans="1:36" ht="30" x14ac:dyDescent="0.25">
      <c r="A84" s="166" t="s">
        <v>261</v>
      </c>
      <c r="B84" s="125" t="s">
        <v>337</v>
      </c>
      <c r="C84" s="167" t="s">
        <v>326</v>
      </c>
      <c r="D84" s="123">
        <v>1</v>
      </c>
      <c r="E84" s="123" t="s">
        <v>36</v>
      </c>
      <c r="F84" s="172" t="s">
        <v>273</v>
      </c>
      <c r="G84" s="170">
        <v>200</v>
      </c>
      <c r="H84" s="170">
        <v>200</v>
      </c>
      <c r="I84" s="182"/>
      <c r="J84" s="123" t="s">
        <v>265</v>
      </c>
      <c r="K84" s="183"/>
      <c r="L84" s="68"/>
      <c r="M84" s="123"/>
      <c r="N84" s="68"/>
      <c r="O84" s="68"/>
      <c r="P84" s="68"/>
      <c r="Q84" s="68"/>
      <c r="R84" s="68"/>
      <c r="S84" s="68"/>
      <c r="T84" s="68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2">
        <f t="shared" si="1"/>
        <v>1</v>
      </c>
    </row>
    <row r="85" spans="1:36" ht="30" x14ac:dyDescent="0.25">
      <c r="A85" s="166" t="s">
        <v>261</v>
      </c>
      <c r="B85" s="125" t="s">
        <v>337</v>
      </c>
      <c r="C85" s="167" t="s">
        <v>326</v>
      </c>
      <c r="D85" s="123">
        <v>5</v>
      </c>
      <c r="E85" s="123" t="s">
        <v>36</v>
      </c>
      <c r="F85" s="172" t="s">
        <v>310</v>
      </c>
      <c r="G85" s="170">
        <v>20</v>
      </c>
      <c r="H85" s="170">
        <v>100</v>
      </c>
      <c r="I85" s="182"/>
      <c r="J85" s="123" t="s">
        <v>265</v>
      </c>
      <c r="K85" s="183"/>
      <c r="L85" s="68"/>
      <c r="M85" s="133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132">
        <f t="shared" si="1"/>
        <v>5</v>
      </c>
    </row>
    <row r="86" spans="1:36" ht="30" x14ac:dyDescent="0.25">
      <c r="A86" s="166" t="s">
        <v>261</v>
      </c>
      <c r="B86" s="125" t="s">
        <v>337</v>
      </c>
      <c r="C86" s="167" t="s">
        <v>326</v>
      </c>
      <c r="D86" s="123">
        <v>5</v>
      </c>
      <c r="E86" s="123" t="s">
        <v>36</v>
      </c>
      <c r="F86" s="172" t="s">
        <v>80</v>
      </c>
      <c r="G86" s="170">
        <v>12</v>
      </c>
      <c r="H86" s="170">
        <v>60</v>
      </c>
      <c r="I86" s="182"/>
      <c r="J86" s="123" t="s">
        <v>265</v>
      </c>
      <c r="K86" s="133"/>
      <c r="L86" s="68"/>
      <c r="M86" s="68"/>
      <c r="N86" s="68"/>
      <c r="O86" s="68"/>
      <c r="P86" s="68"/>
      <c r="Q86" s="68"/>
      <c r="R86" s="68"/>
      <c r="S86" s="68"/>
      <c r="T86" s="68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2">
        <f t="shared" si="1"/>
        <v>5</v>
      </c>
    </row>
    <row r="87" spans="1:36" ht="30" x14ac:dyDescent="0.25">
      <c r="A87" s="166" t="s">
        <v>261</v>
      </c>
      <c r="B87" s="125" t="s">
        <v>337</v>
      </c>
      <c r="C87" s="167" t="s">
        <v>326</v>
      </c>
      <c r="D87" s="123">
        <v>5</v>
      </c>
      <c r="E87" s="123" t="s">
        <v>36</v>
      </c>
      <c r="F87" s="172" t="s">
        <v>311</v>
      </c>
      <c r="G87" s="170">
        <v>15</v>
      </c>
      <c r="H87" s="174">
        <v>75</v>
      </c>
      <c r="I87" s="182"/>
      <c r="J87" s="123" t="s">
        <v>265</v>
      </c>
      <c r="K87" s="133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132">
        <f t="shared" si="1"/>
        <v>5</v>
      </c>
    </row>
    <row r="88" spans="1:36" ht="30" x14ac:dyDescent="0.25">
      <c r="A88" s="166" t="s">
        <v>261</v>
      </c>
      <c r="B88" s="125" t="s">
        <v>337</v>
      </c>
      <c r="C88" s="167" t="s">
        <v>326</v>
      </c>
      <c r="D88" s="123">
        <v>20</v>
      </c>
      <c r="E88" s="123" t="s">
        <v>36</v>
      </c>
      <c r="F88" s="172" t="s">
        <v>132</v>
      </c>
      <c r="G88" s="170">
        <v>7</v>
      </c>
      <c r="H88" s="170">
        <v>140</v>
      </c>
      <c r="I88" s="182"/>
      <c r="J88" s="123" t="s">
        <v>305</v>
      </c>
      <c r="K88" s="133"/>
      <c r="L88" s="68"/>
      <c r="M88" s="68"/>
      <c r="N88" s="68"/>
      <c r="O88" s="68"/>
      <c r="P88" s="68"/>
      <c r="Q88" s="68"/>
      <c r="R88" s="68"/>
      <c r="S88" s="68"/>
      <c r="T88" s="68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2">
        <f t="shared" si="1"/>
        <v>20</v>
      </c>
    </row>
    <row r="89" spans="1:36" ht="30" x14ac:dyDescent="0.25">
      <c r="A89" s="166" t="s">
        <v>261</v>
      </c>
      <c r="B89" s="125" t="s">
        <v>325</v>
      </c>
      <c r="C89" s="167" t="s">
        <v>326</v>
      </c>
      <c r="D89" s="168">
        <v>10</v>
      </c>
      <c r="E89" s="168" t="s">
        <v>36</v>
      </c>
      <c r="F89" s="171" t="s">
        <v>205</v>
      </c>
      <c r="G89" s="170">
        <v>8</v>
      </c>
      <c r="H89" s="170">
        <v>80</v>
      </c>
      <c r="I89" s="182"/>
      <c r="J89" s="123" t="s">
        <v>305</v>
      </c>
      <c r="K89" s="133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132">
        <f t="shared" si="1"/>
        <v>10</v>
      </c>
    </row>
    <row r="90" spans="1:36" ht="30" x14ac:dyDescent="0.25">
      <c r="A90" s="166" t="s">
        <v>261</v>
      </c>
      <c r="B90" s="125" t="s">
        <v>337</v>
      </c>
      <c r="C90" s="167" t="s">
        <v>326</v>
      </c>
      <c r="D90" s="123">
        <v>80</v>
      </c>
      <c r="E90" s="123" t="s">
        <v>36</v>
      </c>
      <c r="F90" s="173" t="s">
        <v>340</v>
      </c>
      <c r="G90" s="170">
        <v>8</v>
      </c>
      <c r="H90" s="170">
        <v>640</v>
      </c>
      <c r="I90" s="182"/>
      <c r="J90" s="123" t="s">
        <v>305</v>
      </c>
      <c r="K90" s="133"/>
      <c r="L90" s="68"/>
      <c r="M90" s="68">
        <v>1</v>
      </c>
      <c r="N90" s="68"/>
      <c r="O90" s="68"/>
      <c r="P90" s="68"/>
      <c r="Q90" s="68"/>
      <c r="R90" s="68"/>
      <c r="S90" s="68"/>
      <c r="T90" s="68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2">
        <f t="shared" si="1"/>
        <v>79</v>
      </c>
    </row>
    <row r="91" spans="1:36" ht="30" x14ac:dyDescent="0.25">
      <c r="A91" s="166" t="s">
        <v>261</v>
      </c>
      <c r="B91" s="125" t="s">
        <v>337</v>
      </c>
      <c r="C91" s="167" t="s">
        <v>326</v>
      </c>
      <c r="D91" s="123">
        <v>2</v>
      </c>
      <c r="E91" s="123" t="s">
        <v>36</v>
      </c>
      <c r="F91" s="172" t="s">
        <v>348</v>
      </c>
      <c r="G91" s="170">
        <v>100</v>
      </c>
      <c r="H91" s="170">
        <v>200</v>
      </c>
      <c r="I91" s="182"/>
      <c r="J91" s="123" t="s">
        <v>305</v>
      </c>
      <c r="K91" s="133"/>
      <c r="L91" s="68"/>
      <c r="M91" s="68"/>
      <c r="N91" s="68">
        <v>2</v>
      </c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132">
        <f t="shared" si="1"/>
        <v>0</v>
      </c>
    </row>
    <row r="92" spans="1:36" ht="45" x14ac:dyDescent="0.25">
      <c r="A92" s="175" t="s">
        <v>261</v>
      </c>
      <c r="B92" s="176" t="s">
        <v>337</v>
      </c>
      <c r="C92" s="177" t="s">
        <v>326</v>
      </c>
      <c r="D92" s="178">
        <v>3</v>
      </c>
      <c r="E92" s="178" t="s">
        <v>36</v>
      </c>
      <c r="F92" s="179" t="s">
        <v>135</v>
      </c>
      <c r="G92" s="180">
        <v>285</v>
      </c>
      <c r="H92" s="180">
        <v>855</v>
      </c>
      <c r="I92" s="182"/>
      <c r="J92" s="123" t="s">
        <v>305</v>
      </c>
      <c r="K92" s="133"/>
      <c r="L92" s="68"/>
      <c r="M92" s="68"/>
      <c r="N92" s="68"/>
      <c r="O92" s="68"/>
      <c r="P92" s="68"/>
      <c r="Q92" s="68"/>
      <c r="R92" s="68"/>
      <c r="S92" s="68"/>
      <c r="T92" s="68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2">
        <f t="shared" si="1"/>
        <v>3</v>
      </c>
    </row>
  </sheetData>
  <protectedRanges>
    <protectedRange sqref="I1" name="Rango1"/>
    <protectedRange sqref="I2:I92" name="Rango1_2"/>
    <protectedRange algorithmName="SHA-512" hashValue="EleUkE5tVEWAl1uOcTeQVXpJTycVx2iIl/2RlTPkTRmDIrar8rl9UEqC5maf7+x7VQaoHW8FVwh+dxaxrDnddQ==" saltValue="xAGf3LtmYPiHGO3vhWKRzA==" spinCount="100000" sqref="A2:H22" name="Rango4"/>
    <protectedRange algorithmName="SHA-512" hashValue="EleUkE5tVEWAl1uOcTeQVXpJTycVx2iIl/2RlTPkTRmDIrar8rl9UEqC5maf7+x7VQaoHW8FVwh+dxaxrDnddQ==" saltValue="xAGf3LtmYPiHGO3vhWKRzA==" spinCount="100000" sqref="A23:H92 K23:K44" name="Rango4_1"/>
  </protectedRanges>
  <autoFilter ref="A1:J92" xr:uid="{40E2176C-B9CF-49F1-8B50-7F9A699A8FED}">
    <filterColumn colId="9">
      <filters>
        <filter val="LIMPIEZA"/>
        <filter val="MISCELANEOS"/>
      </filters>
    </filterColumn>
    <sortState xmlns:xlrd2="http://schemas.microsoft.com/office/spreadsheetml/2017/richdata2" ref="A2:J92">
      <sortCondition ref="F1:F92"/>
    </sortState>
  </autoFilter>
  <conditionalFormatting sqref="J1:J92 I1:I1048576">
    <cfRule type="cellIs" dxfId="1" priority="2" operator="equal">
      <formula>"entregado"</formula>
    </cfRule>
  </conditionalFormatting>
  <conditionalFormatting sqref="AJ2:AJ92">
    <cfRule type="cellIs" dxfId="0" priority="1" operator="greaterThan">
      <formula>0</formula>
    </cfRule>
  </conditionalFormatting>
  <dataValidations count="1">
    <dataValidation type="list" allowBlank="1" showInputMessage="1" showErrorMessage="1" sqref="I2:I92" xr:uid="{AD630145-0B77-4B4B-B8FF-AAA8412ACFA2}">
      <formula1>"En Cotizaciòn,Cuadro Comparativo,Entregado,Observado,Entregado,Sin Existencias,Remplazo"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6CB73-F19D-4983-ABD1-38FF64221C45}">
  <sheetPr>
    <tabColor theme="9" tint="-0.499984740745262"/>
    <pageSetUpPr fitToPage="1"/>
  </sheetPr>
  <dimension ref="A1:U37"/>
  <sheetViews>
    <sheetView view="pageBreakPreview" topLeftCell="A6" zoomScale="90" zoomScaleNormal="100" zoomScaleSheetLayoutView="90" workbookViewId="0">
      <selection activeCell="M21" sqref="M21:Q21"/>
    </sheetView>
  </sheetViews>
  <sheetFormatPr baseColWidth="10" defaultColWidth="10.7109375" defaultRowHeight="15" x14ac:dyDescent="0.25"/>
  <cols>
    <col min="1" max="1" width="2" customWidth="1"/>
    <col min="2" max="2" width="6.28515625" customWidth="1"/>
    <col min="3" max="3" width="5.7109375" customWidth="1"/>
    <col min="4" max="4" width="11.85546875" customWidth="1"/>
    <col min="5" max="5" width="3.5703125" customWidth="1"/>
    <col min="6" max="6" width="2.85546875" customWidth="1"/>
    <col min="7" max="7" width="3.28515625" customWidth="1"/>
    <col min="8" max="8" width="25.7109375" customWidth="1"/>
    <col min="9" max="9" width="5.85546875" style="20" customWidth="1"/>
    <col min="10" max="10" width="4.85546875" style="20" customWidth="1"/>
    <col min="11" max="11" width="2.5703125" style="20" customWidth="1"/>
    <col min="12" max="12" width="14" style="19" customWidth="1"/>
    <col min="13" max="13" width="1.85546875" customWidth="1"/>
    <col min="14" max="14" width="2.28515625" customWidth="1"/>
    <col min="15" max="15" width="1.85546875" customWidth="1"/>
    <col min="16" max="16" width="2.7109375" customWidth="1"/>
    <col min="17" max="18" width="3.85546875" customWidth="1"/>
    <col min="19" max="19" width="4" customWidth="1"/>
    <col min="20" max="20" width="3.28515625" customWidth="1"/>
    <col min="21" max="21" width="1.7109375" customWidth="1"/>
  </cols>
  <sheetData>
    <row r="1" spans="1:21" x14ac:dyDescent="0.25">
      <c r="A1" s="263"/>
      <c r="B1" s="263"/>
      <c r="C1" s="263"/>
      <c r="D1" s="264" t="s">
        <v>0</v>
      </c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</row>
    <row r="2" spans="1:21" x14ac:dyDescent="0.25">
      <c r="A2" s="263"/>
      <c r="B2" s="263"/>
      <c r="C2" s="263"/>
      <c r="D2" s="264" t="s">
        <v>1</v>
      </c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</row>
    <row r="3" spans="1:21" x14ac:dyDescent="0.25">
      <c r="A3" s="263"/>
      <c r="B3" s="263"/>
      <c r="C3" s="263"/>
      <c r="D3" s="264" t="s">
        <v>2</v>
      </c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4"/>
    </row>
    <row r="4" spans="1:21" x14ac:dyDescent="0.25">
      <c r="A4" s="265" t="s">
        <v>3</v>
      </c>
      <c r="B4" s="265"/>
      <c r="C4" s="265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4"/>
    </row>
    <row r="5" spans="1:21" ht="21" customHeight="1" x14ac:dyDescent="0.25">
      <c r="A5" s="242"/>
      <c r="B5" s="243"/>
      <c r="C5" s="244"/>
      <c r="D5" s="245" t="s">
        <v>4</v>
      </c>
      <c r="E5" s="246"/>
      <c r="F5" s="246"/>
      <c r="G5" s="246"/>
      <c r="H5" s="246"/>
      <c r="I5" s="246"/>
      <c r="J5" s="246"/>
      <c r="K5" s="246"/>
      <c r="L5" s="247" t="s">
        <v>5</v>
      </c>
      <c r="M5" s="247"/>
      <c r="N5" s="247"/>
      <c r="O5" s="247"/>
      <c r="P5" s="247"/>
      <c r="Q5" s="248" t="s">
        <v>21</v>
      </c>
      <c r="R5" s="248"/>
      <c r="S5" s="248"/>
      <c r="T5" s="248"/>
      <c r="U5" s="249"/>
    </row>
    <row r="6" spans="1:21" x14ac:dyDescent="0.25">
      <c r="A6" s="14"/>
      <c r="B6" s="15"/>
      <c r="C6" s="15"/>
      <c r="U6" s="1"/>
    </row>
    <row r="7" spans="1:21" x14ac:dyDescent="0.25">
      <c r="A7" s="16"/>
      <c r="B7" s="250" t="s">
        <v>6</v>
      </c>
      <c r="C7" s="251"/>
      <c r="D7" s="251"/>
      <c r="E7" s="251"/>
      <c r="F7" s="251"/>
      <c r="G7" s="251"/>
      <c r="H7" s="251"/>
      <c r="I7" s="252"/>
      <c r="J7" s="22"/>
      <c r="K7" s="22"/>
      <c r="U7" s="1"/>
    </row>
    <row r="8" spans="1:21" x14ac:dyDescent="0.25">
      <c r="A8" s="16"/>
      <c r="B8" s="253" t="s">
        <v>7</v>
      </c>
      <c r="C8" s="253"/>
      <c r="D8" s="253"/>
      <c r="E8" s="253"/>
      <c r="F8" s="253"/>
      <c r="G8" s="253"/>
      <c r="H8" s="253"/>
      <c r="I8" s="253"/>
      <c r="J8" s="23"/>
      <c r="K8" s="23"/>
      <c r="L8" s="25"/>
      <c r="M8" s="3"/>
      <c r="N8" s="3"/>
      <c r="O8" s="3"/>
      <c r="P8" s="3"/>
      <c r="Q8" s="3"/>
      <c r="R8" s="3"/>
      <c r="S8" s="3"/>
      <c r="T8" s="3"/>
      <c r="U8" s="4"/>
    </row>
    <row r="9" spans="1:21" x14ac:dyDescent="0.25">
      <c r="A9" s="16"/>
      <c r="B9" s="253" t="s">
        <v>8</v>
      </c>
      <c r="C9" s="253"/>
      <c r="D9" s="253"/>
      <c r="E9" s="253"/>
      <c r="F9" s="253"/>
      <c r="G9" s="253"/>
      <c r="H9" s="253"/>
      <c r="I9" s="253"/>
      <c r="J9" s="23"/>
      <c r="K9" s="254" t="s">
        <v>9</v>
      </c>
      <c r="L9" s="254"/>
      <c r="M9" s="254"/>
      <c r="N9" s="254"/>
      <c r="O9" s="254"/>
      <c r="P9" s="254"/>
      <c r="Q9" s="254"/>
      <c r="R9" s="254"/>
      <c r="S9" s="254"/>
      <c r="T9" s="3"/>
      <c r="U9" s="4"/>
    </row>
    <row r="10" spans="1:21" x14ac:dyDescent="0.25">
      <c r="A10" s="16"/>
      <c r="B10" s="253" t="s">
        <v>10</v>
      </c>
      <c r="C10" s="253"/>
      <c r="D10" s="253"/>
      <c r="E10" s="253"/>
      <c r="F10" s="253"/>
      <c r="G10" s="253"/>
      <c r="H10" s="253"/>
      <c r="I10" s="253"/>
      <c r="J10" s="22"/>
      <c r="K10" s="255" t="s">
        <v>11</v>
      </c>
      <c r="L10" s="255"/>
      <c r="M10" s="255"/>
      <c r="N10" s="255"/>
      <c r="O10" s="255"/>
      <c r="P10" s="255"/>
      <c r="Q10" s="255"/>
      <c r="R10" s="255"/>
      <c r="S10" s="255"/>
      <c r="T10" s="2"/>
      <c r="U10" s="1"/>
    </row>
    <row r="11" spans="1:21" ht="35.25" customHeight="1" x14ac:dyDescent="0.25">
      <c r="A11" s="5"/>
      <c r="B11" s="256" t="s">
        <v>196</v>
      </c>
      <c r="C11" s="257"/>
      <c r="D11" s="257"/>
      <c r="E11" s="257"/>
      <c r="F11" s="258"/>
      <c r="G11" s="259">
        <v>45671</v>
      </c>
      <c r="H11" s="237"/>
      <c r="I11" s="238"/>
      <c r="J11" s="23"/>
      <c r="K11" s="260" t="s">
        <v>28</v>
      </c>
      <c r="L11" s="261"/>
      <c r="M11" s="261"/>
      <c r="N11" s="261"/>
      <c r="O11" s="261"/>
      <c r="P11" s="261"/>
      <c r="Q11" s="261"/>
      <c r="R11" s="261"/>
      <c r="S11" s="262"/>
      <c r="T11" s="12"/>
      <c r="U11" s="6"/>
    </row>
    <row r="12" spans="1:21" ht="15" customHeight="1" x14ac:dyDescent="0.25">
      <c r="A12" s="5"/>
      <c r="B12" s="239" t="s">
        <v>22</v>
      </c>
      <c r="C12" s="240"/>
      <c r="D12" s="240"/>
      <c r="E12" s="240"/>
      <c r="F12" s="240"/>
      <c r="G12" s="240"/>
      <c r="H12" s="240"/>
      <c r="I12" s="241"/>
      <c r="J12" s="23"/>
      <c r="K12" s="225" t="s">
        <v>25</v>
      </c>
      <c r="L12" s="226"/>
      <c r="M12" s="226"/>
      <c r="N12" s="226"/>
      <c r="O12" s="226"/>
      <c r="P12" s="226"/>
      <c r="Q12" s="226"/>
      <c r="R12" s="226"/>
      <c r="S12" s="227"/>
      <c r="T12" s="12"/>
      <c r="U12" s="6"/>
    </row>
    <row r="13" spans="1:21" x14ac:dyDescent="0.25">
      <c r="A13" s="5"/>
      <c r="B13" s="236" t="s">
        <v>27</v>
      </c>
      <c r="C13" s="237"/>
      <c r="D13" s="237"/>
      <c r="E13" s="237"/>
      <c r="F13" s="237"/>
      <c r="G13" s="237"/>
      <c r="H13" s="237"/>
      <c r="I13" s="238"/>
      <c r="J13" s="24"/>
      <c r="K13" s="225" t="s">
        <v>324</v>
      </c>
      <c r="L13" s="226"/>
      <c r="M13" s="226"/>
      <c r="N13" s="226"/>
      <c r="O13" s="226"/>
      <c r="P13" s="226"/>
      <c r="Q13" s="226"/>
      <c r="R13" s="226"/>
      <c r="S13" s="227"/>
      <c r="T13" s="3"/>
      <c r="U13" s="4"/>
    </row>
    <row r="14" spans="1:21" ht="30" customHeight="1" x14ac:dyDescent="0.25">
      <c r="A14" s="5"/>
      <c r="B14" s="222" t="s">
        <v>26</v>
      </c>
      <c r="C14" s="223"/>
      <c r="D14" s="223"/>
      <c r="E14" s="223"/>
      <c r="F14" s="223"/>
      <c r="G14" s="223"/>
      <c r="H14" s="223"/>
      <c r="I14" s="224"/>
      <c r="J14" s="21"/>
      <c r="K14" s="225" t="s">
        <v>32</v>
      </c>
      <c r="L14" s="226"/>
      <c r="M14" s="226"/>
      <c r="N14" s="226"/>
      <c r="O14" s="226"/>
      <c r="P14" s="226"/>
      <c r="Q14" s="226"/>
      <c r="R14" s="226"/>
      <c r="S14" s="227"/>
      <c r="T14" s="7"/>
      <c r="U14" s="8"/>
    </row>
    <row r="15" spans="1:21" ht="15" customHeight="1" x14ac:dyDescent="0.25">
      <c r="A15" s="5"/>
      <c r="B15" s="228" t="s">
        <v>23</v>
      </c>
      <c r="C15" s="229"/>
      <c r="D15" s="229"/>
      <c r="E15" s="229"/>
      <c r="F15" s="229"/>
      <c r="G15" s="229"/>
      <c r="H15" s="229"/>
      <c r="I15" s="230"/>
      <c r="J15" s="21"/>
      <c r="K15" s="23"/>
      <c r="L15" s="25"/>
      <c r="M15" s="13"/>
      <c r="N15" s="13"/>
      <c r="O15" s="13"/>
      <c r="P15" s="13"/>
      <c r="Q15" s="13"/>
      <c r="R15" s="13"/>
      <c r="S15" s="13"/>
      <c r="T15" s="7"/>
      <c r="U15" s="8"/>
    </row>
    <row r="16" spans="1:21" x14ac:dyDescent="0.25">
      <c r="A16" s="9"/>
      <c r="B16" s="231" t="s">
        <v>24</v>
      </c>
      <c r="C16" s="232"/>
      <c r="D16" s="232"/>
      <c r="E16" s="232"/>
      <c r="F16" s="232"/>
      <c r="G16" s="232"/>
      <c r="H16" s="232"/>
      <c r="I16" s="233"/>
      <c r="J16" s="22"/>
      <c r="K16" s="22"/>
      <c r="L16" s="26"/>
      <c r="M16" s="2"/>
      <c r="N16" s="10"/>
      <c r="O16" s="10"/>
      <c r="P16" s="10"/>
      <c r="Q16" s="10"/>
      <c r="R16" s="10"/>
      <c r="S16" s="10"/>
      <c r="T16" s="2"/>
      <c r="U16" s="1"/>
    </row>
    <row r="17" spans="1:21" x14ac:dyDescent="0.25">
      <c r="A17" s="16"/>
      <c r="B17" s="11"/>
      <c r="C17" s="11"/>
      <c r="D17" s="11"/>
      <c r="E17" s="11"/>
      <c r="F17" s="11"/>
      <c r="G17" s="7"/>
      <c r="H17" s="7"/>
      <c r="I17" s="21"/>
      <c r="J17" s="22"/>
      <c r="K17" s="22"/>
      <c r="L17" s="26"/>
      <c r="M17" s="2"/>
      <c r="N17" s="10"/>
      <c r="O17" s="10"/>
      <c r="P17" s="10"/>
      <c r="Q17" s="10"/>
      <c r="R17" s="10"/>
      <c r="S17" s="10"/>
      <c r="T17" s="2"/>
      <c r="U17" s="1"/>
    </row>
    <row r="18" spans="1:21" x14ac:dyDescent="0.25">
      <c r="A18" s="16"/>
      <c r="B18" s="234" t="s">
        <v>12</v>
      </c>
      <c r="C18" s="234"/>
      <c r="D18" s="234"/>
      <c r="E18" s="234"/>
      <c r="F18" s="234"/>
      <c r="G18" s="234"/>
      <c r="H18" s="234"/>
      <c r="I18" s="235" t="s">
        <v>13</v>
      </c>
      <c r="J18" s="235"/>
      <c r="K18" s="235"/>
      <c r="L18" s="18" t="s">
        <v>14</v>
      </c>
      <c r="M18" s="194" t="s">
        <v>15</v>
      </c>
      <c r="N18" s="194"/>
      <c r="O18" s="194"/>
      <c r="P18" s="194"/>
      <c r="Q18" s="194"/>
      <c r="R18" s="194" t="s">
        <v>16</v>
      </c>
      <c r="S18" s="194"/>
      <c r="T18" s="194"/>
      <c r="U18" s="1"/>
    </row>
    <row r="19" spans="1:21" s="31" customFormat="1" ht="22.5" customHeight="1" x14ac:dyDescent="0.25">
      <c r="A19" s="28"/>
      <c r="B19" s="218" t="s">
        <v>322</v>
      </c>
      <c r="C19" s="219"/>
      <c r="D19" s="219"/>
      <c r="E19" s="219"/>
      <c r="F19" s="219"/>
      <c r="G19" s="219"/>
      <c r="H19" s="220"/>
      <c r="I19" s="221">
        <v>10</v>
      </c>
      <c r="J19" s="212"/>
      <c r="K19" s="213"/>
      <c r="L19" s="29" t="s">
        <v>323</v>
      </c>
      <c r="M19" s="214"/>
      <c r="N19" s="214"/>
      <c r="O19" s="214"/>
      <c r="P19" s="214"/>
      <c r="Q19" s="214"/>
      <c r="R19" s="214"/>
      <c r="S19" s="214"/>
      <c r="T19" s="214"/>
      <c r="U19" s="30"/>
    </row>
    <row r="20" spans="1:21" s="31" customFormat="1" ht="26.25" customHeight="1" x14ac:dyDescent="0.25">
      <c r="A20" s="28"/>
      <c r="B20" s="210" t="s">
        <v>133</v>
      </c>
      <c r="C20" s="210"/>
      <c r="D20" s="210"/>
      <c r="E20" s="210"/>
      <c r="F20" s="210"/>
      <c r="G20" s="210"/>
      <c r="H20" s="210"/>
      <c r="I20" s="211">
        <v>20</v>
      </c>
      <c r="J20" s="212"/>
      <c r="K20" s="213"/>
      <c r="L20" s="29" t="s">
        <v>323</v>
      </c>
      <c r="M20" s="214"/>
      <c r="N20" s="214"/>
      <c r="O20" s="214"/>
      <c r="P20" s="214"/>
      <c r="Q20" s="214"/>
      <c r="R20" s="214"/>
      <c r="S20" s="214"/>
      <c r="T20" s="214"/>
      <c r="U20" s="30"/>
    </row>
    <row r="21" spans="1:21" s="31" customFormat="1" ht="24" customHeight="1" x14ac:dyDescent="0.25">
      <c r="A21" s="28"/>
      <c r="B21" s="210"/>
      <c r="C21" s="210"/>
      <c r="D21" s="210"/>
      <c r="E21" s="210"/>
      <c r="F21" s="210"/>
      <c r="G21" s="210"/>
      <c r="H21" s="210"/>
      <c r="I21" s="211"/>
      <c r="J21" s="212"/>
      <c r="K21" s="213"/>
      <c r="L21" s="29"/>
      <c r="M21" s="214"/>
      <c r="N21" s="214"/>
      <c r="O21" s="214"/>
      <c r="P21" s="214"/>
      <c r="Q21" s="214"/>
      <c r="R21" s="214"/>
      <c r="S21" s="214"/>
      <c r="T21" s="214"/>
      <c r="U21" s="30"/>
    </row>
    <row r="22" spans="1:21" s="31" customFormat="1" ht="19.5" customHeight="1" x14ac:dyDescent="0.25">
      <c r="A22" s="28"/>
      <c r="B22" s="190"/>
      <c r="C22" s="190"/>
      <c r="D22" s="190"/>
      <c r="E22" s="190"/>
      <c r="F22" s="190"/>
      <c r="G22" s="190"/>
      <c r="H22" s="190"/>
      <c r="I22" s="211"/>
      <c r="J22" s="212"/>
      <c r="K22" s="213"/>
      <c r="L22" s="29"/>
      <c r="M22" s="214"/>
      <c r="N22" s="214"/>
      <c r="O22" s="214"/>
      <c r="P22" s="214"/>
      <c r="Q22" s="214"/>
      <c r="R22" s="215"/>
      <c r="S22" s="216"/>
      <c r="T22" s="217"/>
      <c r="U22" s="30"/>
    </row>
    <row r="23" spans="1:21" ht="19.5" customHeight="1" x14ac:dyDescent="0.25">
      <c r="A23" s="16"/>
      <c r="B23" s="190"/>
      <c r="C23" s="190"/>
      <c r="D23" s="190"/>
      <c r="E23" s="190"/>
      <c r="F23" s="190"/>
      <c r="G23" s="190"/>
      <c r="H23" s="190"/>
      <c r="I23" s="191"/>
      <c r="J23" s="192"/>
      <c r="K23" s="193"/>
      <c r="L23" s="27"/>
      <c r="M23" s="194"/>
      <c r="N23" s="194"/>
      <c r="O23" s="194"/>
      <c r="P23" s="194"/>
      <c r="Q23" s="194"/>
      <c r="R23" s="194"/>
      <c r="S23" s="194"/>
      <c r="T23" s="194"/>
      <c r="U23" s="1"/>
    </row>
    <row r="24" spans="1:21" ht="19.5" customHeight="1" x14ac:dyDescent="0.25">
      <c r="A24" s="16"/>
      <c r="B24" s="190"/>
      <c r="C24" s="190"/>
      <c r="D24" s="190"/>
      <c r="E24" s="190"/>
      <c r="F24" s="190"/>
      <c r="G24" s="190"/>
      <c r="H24" s="190"/>
      <c r="I24" s="191"/>
      <c r="J24" s="192"/>
      <c r="K24" s="193"/>
      <c r="L24" s="27"/>
      <c r="M24" s="194"/>
      <c r="N24" s="194"/>
      <c r="O24" s="194"/>
      <c r="P24" s="194"/>
      <c r="Q24" s="194"/>
      <c r="R24" s="194"/>
      <c r="S24" s="194"/>
      <c r="T24" s="194"/>
      <c r="U24" s="1"/>
    </row>
    <row r="25" spans="1:21" ht="19.5" customHeight="1" x14ac:dyDescent="0.25">
      <c r="A25" s="16"/>
      <c r="B25" s="190"/>
      <c r="C25" s="190"/>
      <c r="D25" s="190"/>
      <c r="E25" s="190"/>
      <c r="F25" s="190"/>
      <c r="G25" s="190"/>
      <c r="H25" s="190"/>
      <c r="I25" s="191"/>
      <c r="J25" s="192"/>
      <c r="K25" s="193"/>
      <c r="L25" s="27"/>
      <c r="M25" s="194"/>
      <c r="N25" s="194"/>
      <c r="O25" s="194"/>
      <c r="P25" s="194"/>
      <c r="Q25" s="194"/>
      <c r="R25" s="194"/>
      <c r="S25" s="194"/>
      <c r="T25" s="194"/>
      <c r="U25" s="1"/>
    </row>
    <row r="26" spans="1:21" ht="19.5" customHeight="1" x14ac:dyDescent="0.25">
      <c r="A26" s="16"/>
      <c r="B26" s="190"/>
      <c r="C26" s="190"/>
      <c r="D26" s="190"/>
      <c r="E26" s="190"/>
      <c r="F26" s="190"/>
      <c r="G26" s="190"/>
      <c r="H26" s="190"/>
      <c r="I26" s="191"/>
      <c r="J26" s="192"/>
      <c r="K26" s="193"/>
      <c r="L26" s="27"/>
      <c r="M26" s="194"/>
      <c r="N26" s="194"/>
      <c r="O26" s="194"/>
      <c r="P26" s="194"/>
      <c r="Q26" s="194"/>
      <c r="R26" s="194"/>
      <c r="S26" s="194"/>
      <c r="T26" s="194"/>
      <c r="U26" s="1"/>
    </row>
    <row r="27" spans="1:21" ht="19.5" customHeight="1" x14ac:dyDescent="0.25">
      <c r="A27" s="16"/>
      <c r="B27" s="190"/>
      <c r="C27" s="190"/>
      <c r="D27" s="190"/>
      <c r="E27" s="190"/>
      <c r="F27" s="190"/>
      <c r="G27" s="190"/>
      <c r="H27" s="190"/>
      <c r="I27" s="191"/>
      <c r="J27" s="192"/>
      <c r="K27" s="193"/>
      <c r="L27" s="27"/>
      <c r="M27" s="194"/>
      <c r="N27" s="194"/>
      <c r="O27" s="194"/>
      <c r="P27" s="194"/>
      <c r="Q27" s="194"/>
      <c r="R27" s="194"/>
      <c r="S27" s="194"/>
      <c r="T27" s="194"/>
      <c r="U27" s="1"/>
    </row>
    <row r="28" spans="1:21" ht="18.75" customHeight="1" x14ac:dyDescent="0.25">
      <c r="A28" s="16"/>
      <c r="B28" s="190"/>
      <c r="C28" s="190"/>
      <c r="D28" s="190"/>
      <c r="E28" s="190"/>
      <c r="F28" s="190"/>
      <c r="G28" s="190"/>
      <c r="H28" s="190"/>
      <c r="I28" s="191"/>
      <c r="J28" s="192"/>
      <c r="K28" s="193"/>
      <c r="L28" s="27"/>
      <c r="M28" s="194"/>
      <c r="N28" s="194"/>
      <c r="O28" s="194"/>
      <c r="P28" s="194"/>
      <c r="Q28" s="194"/>
      <c r="R28" s="194"/>
      <c r="S28" s="194"/>
      <c r="T28" s="194"/>
      <c r="U28" s="1"/>
    </row>
    <row r="29" spans="1:21" ht="19.5" customHeight="1" x14ac:dyDescent="0.25">
      <c r="A29" s="16"/>
      <c r="B29" s="207"/>
      <c r="C29" s="208"/>
      <c r="D29" s="208"/>
      <c r="E29" s="208"/>
      <c r="F29" s="208"/>
      <c r="G29" s="208"/>
      <c r="H29" s="208"/>
      <c r="I29" s="202"/>
      <c r="J29" s="202"/>
      <c r="K29" s="202"/>
      <c r="L29" s="32"/>
      <c r="M29" s="194"/>
      <c r="N29" s="194"/>
      <c r="O29" s="194"/>
      <c r="P29" s="194"/>
      <c r="Q29" s="194"/>
      <c r="R29" s="194"/>
      <c r="S29" s="194"/>
      <c r="T29" s="194"/>
      <c r="U29" s="1"/>
    </row>
    <row r="30" spans="1:21" ht="19.5" customHeight="1" x14ac:dyDescent="0.25">
      <c r="A30" s="16"/>
      <c r="B30" s="207"/>
      <c r="C30" s="208"/>
      <c r="D30" s="208"/>
      <c r="E30" s="208"/>
      <c r="F30" s="208"/>
      <c r="G30" s="208"/>
      <c r="H30" s="208"/>
      <c r="I30" s="209"/>
      <c r="J30" s="209"/>
      <c r="K30" s="209"/>
      <c r="L30" s="32"/>
      <c r="M30" s="194"/>
      <c r="N30" s="194"/>
      <c r="O30" s="194"/>
      <c r="P30" s="194"/>
      <c r="Q30" s="194"/>
      <c r="R30" s="194"/>
      <c r="S30" s="194"/>
      <c r="T30" s="194"/>
      <c r="U30" s="1"/>
    </row>
    <row r="31" spans="1:21" ht="19.5" customHeight="1" x14ac:dyDescent="0.25">
      <c r="A31" s="16"/>
      <c r="B31" s="190"/>
      <c r="C31" s="190"/>
      <c r="D31" s="190"/>
      <c r="E31" s="190"/>
      <c r="F31" s="190"/>
      <c r="G31" s="190"/>
      <c r="H31" s="190"/>
      <c r="I31" s="191"/>
      <c r="J31" s="192"/>
      <c r="K31" s="193"/>
      <c r="L31" s="27"/>
      <c r="M31" s="194"/>
      <c r="N31" s="194"/>
      <c r="O31" s="194"/>
      <c r="P31" s="194"/>
      <c r="Q31" s="194"/>
      <c r="R31" s="194"/>
      <c r="S31" s="194"/>
      <c r="T31" s="194"/>
      <c r="U31" s="1"/>
    </row>
    <row r="32" spans="1:21" ht="47.25" customHeight="1" x14ac:dyDescent="0.25">
      <c r="A32" s="16"/>
      <c r="B32" s="199"/>
      <c r="C32" s="200"/>
      <c r="D32" s="200"/>
      <c r="E32" s="201"/>
      <c r="F32" s="202" t="s">
        <v>17</v>
      </c>
      <c r="G32" s="202"/>
      <c r="H32" s="202"/>
      <c r="I32" s="202"/>
      <c r="J32" s="202"/>
      <c r="K32" s="202"/>
      <c r="L32" s="202"/>
      <c r="M32" s="202"/>
      <c r="N32" s="202"/>
      <c r="O32" s="202"/>
      <c r="P32" s="203"/>
      <c r="Q32" s="204"/>
      <c r="R32" s="204"/>
      <c r="S32" s="204"/>
      <c r="T32" s="205"/>
      <c r="U32" s="1"/>
    </row>
    <row r="33" spans="1:21" ht="13.5" customHeight="1" x14ac:dyDescent="0.25">
      <c r="A33" s="16"/>
      <c r="B33" s="199"/>
      <c r="C33" s="200"/>
      <c r="D33" s="200"/>
      <c r="E33" s="200"/>
      <c r="F33" s="200"/>
      <c r="G33" s="201"/>
      <c r="H33" s="206" t="s">
        <v>18</v>
      </c>
      <c r="I33" s="206"/>
      <c r="J33" s="206"/>
      <c r="K33" s="206"/>
      <c r="L33" s="206"/>
      <c r="M33" s="206"/>
      <c r="N33" s="206"/>
      <c r="O33" s="206"/>
      <c r="P33" s="203"/>
      <c r="Q33" s="204"/>
      <c r="R33" s="204"/>
      <c r="S33" s="204"/>
      <c r="T33" s="205"/>
      <c r="U33" s="1"/>
    </row>
    <row r="34" spans="1:21" ht="15" customHeight="1" x14ac:dyDescent="0.25">
      <c r="B34" s="195" t="s">
        <v>19</v>
      </c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6"/>
    </row>
    <row r="35" spans="1:21" x14ac:dyDescent="0.25">
      <c r="A35" s="17"/>
      <c r="B35" s="197"/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8"/>
    </row>
    <row r="37" spans="1:21" x14ac:dyDescent="0.25">
      <c r="A37" t="s">
        <v>20</v>
      </c>
    </row>
  </sheetData>
  <mergeCells count="89">
    <mergeCell ref="K11:S11"/>
    <mergeCell ref="A1:C3"/>
    <mergeCell ref="D1:U1"/>
    <mergeCell ref="D2:U2"/>
    <mergeCell ref="D3:U4"/>
    <mergeCell ref="A4:C4"/>
    <mergeCell ref="B13:I13"/>
    <mergeCell ref="K13:S13"/>
    <mergeCell ref="B12:I12"/>
    <mergeCell ref="K12:S12"/>
    <mergeCell ref="A5:C5"/>
    <mergeCell ref="D5:K5"/>
    <mergeCell ref="L5:P5"/>
    <mergeCell ref="Q5:U5"/>
    <mergeCell ref="B7:I7"/>
    <mergeCell ref="B8:I8"/>
    <mergeCell ref="B9:I9"/>
    <mergeCell ref="K9:S9"/>
    <mergeCell ref="B10:I10"/>
    <mergeCell ref="K10:S10"/>
    <mergeCell ref="B11:F11"/>
    <mergeCell ref="G11:I11"/>
    <mergeCell ref="B14:I14"/>
    <mergeCell ref="K14:S14"/>
    <mergeCell ref="B15:I15"/>
    <mergeCell ref="B16:I16"/>
    <mergeCell ref="B18:H18"/>
    <mergeCell ref="I18:K18"/>
    <mergeCell ref="M18:Q18"/>
    <mergeCell ref="R18:T18"/>
    <mergeCell ref="B19:H19"/>
    <mergeCell ref="I19:K19"/>
    <mergeCell ref="M19:Q19"/>
    <mergeCell ref="R19:T19"/>
    <mergeCell ref="B20:H20"/>
    <mergeCell ref="I20:K20"/>
    <mergeCell ref="M20:Q20"/>
    <mergeCell ref="R20:T20"/>
    <mergeCell ref="B27:H27"/>
    <mergeCell ref="I27:K27"/>
    <mergeCell ref="M27:Q27"/>
    <mergeCell ref="R27:T27"/>
    <mergeCell ref="B21:H21"/>
    <mergeCell ref="I21:K21"/>
    <mergeCell ref="M21:Q21"/>
    <mergeCell ref="R21:T21"/>
    <mergeCell ref="B22:H22"/>
    <mergeCell ref="I22:K22"/>
    <mergeCell ref="M22:Q22"/>
    <mergeCell ref="R22:T22"/>
    <mergeCell ref="B23:H23"/>
    <mergeCell ref="I23:K23"/>
    <mergeCell ref="M23:Q23"/>
    <mergeCell ref="R23:T23"/>
    <mergeCell ref="B28:H28"/>
    <mergeCell ref="I28:K28"/>
    <mergeCell ref="M28:Q28"/>
    <mergeCell ref="R28:T28"/>
    <mergeCell ref="B29:H29"/>
    <mergeCell ref="I29:K29"/>
    <mergeCell ref="M29:Q29"/>
    <mergeCell ref="R29:T29"/>
    <mergeCell ref="B30:H30"/>
    <mergeCell ref="I30:K30"/>
    <mergeCell ref="M30:Q30"/>
    <mergeCell ref="R30:T30"/>
    <mergeCell ref="B31:H31"/>
    <mergeCell ref="I31:K31"/>
    <mergeCell ref="M31:Q31"/>
    <mergeCell ref="R31:T31"/>
    <mergeCell ref="B34:U35"/>
    <mergeCell ref="B32:E32"/>
    <mergeCell ref="F32:O32"/>
    <mergeCell ref="P32:T32"/>
    <mergeCell ref="B33:G33"/>
    <mergeCell ref="H33:O33"/>
    <mergeCell ref="P33:T33"/>
    <mergeCell ref="B26:H26"/>
    <mergeCell ref="I26:K26"/>
    <mergeCell ref="M26:Q26"/>
    <mergeCell ref="R26:T26"/>
    <mergeCell ref="B24:H24"/>
    <mergeCell ref="I24:K24"/>
    <mergeCell ref="M24:Q24"/>
    <mergeCell ref="R24:T24"/>
    <mergeCell ref="B25:H25"/>
    <mergeCell ref="I25:K25"/>
    <mergeCell ref="M25:Q25"/>
    <mergeCell ref="R25:T2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42308-2F7A-49EC-93A0-F15AF553A239}">
  <sheetPr>
    <tabColor theme="9" tint="-0.499984740745262"/>
    <pageSetUpPr fitToPage="1"/>
  </sheetPr>
  <dimension ref="A1:U44"/>
  <sheetViews>
    <sheetView view="pageBreakPreview" topLeftCell="A19" zoomScale="90" zoomScaleNormal="100" zoomScaleSheetLayoutView="90" workbookViewId="0">
      <selection activeCell="B12" sqref="B12:I12"/>
    </sheetView>
  </sheetViews>
  <sheetFormatPr baseColWidth="10" defaultColWidth="10.7109375" defaultRowHeight="15" x14ac:dyDescent="0.25"/>
  <cols>
    <col min="1" max="1" width="2" customWidth="1"/>
    <col min="2" max="2" width="6.28515625" style="53" customWidth="1"/>
    <col min="3" max="3" width="5.7109375" style="53" customWidth="1"/>
    <col min="4" max="4" width="11.85546875" style="53" customWidth="1"/>
    <col min="5" max="5" width="3.5703125" style="53" customWidth="1"/>
    <col min="6" max="6" width="2.85546875" style="53" customWidth="1"/>
    <col min="7" max="7" width="3.28515625" style="53" customWidth="1"/>
    <col min="8" max="8" width="25.7109375" style="53" customWidth="1"/>
    <col min="9" max="9" width="5.85546875" style="20" customWidth="1"/>
    <col min="10" max="10" width="4.85546875" style="20" customWidth="1"/>
    <col min="11" max="11" width="2.5703125" style="20" customWidth="1"/>
    <col min="12" max="12" width="14" style="19" customWidth="1"/>
    <col min="13" max="13" width="1.85546875" customWidth="1"/>
    <col min="14" max="14" width="2.28515625" customWidth="1"/>
    <col min="15" max="15" width="1.85546875" customWidth="1"/>
    <col min="16" max="16" width="2.7109375" customWidth="1"/>
    <col min="17" max="18" width="3.85546875" customWidth="1"/>
    <col min="19" max="19" width="4" customWidth="1"/>
    <col min="20" max="20" width="3.28515625" customWidth="1"/>
    <col min="21" max="21" width="1.7109375" customWidth="1"/>
  </cols>
  <sheetData>
    <row r="1" spans="1:21" x14ac:dyDescent="0.25">
      <c r="A1" s="263"/>
      <c r="B1" s="263"/>
      <c r="C1" s="263"/>
      <c r="D1" s="264" t="s">
        <v>0</v>
      </c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</row>
    <row r="2" spans="1:21" x14ac:dyDescent="0.25">
      <c r="A2" s="263"/>
      <c r="B2" s="263"/>
      <c r="C2" s="263"/>
      <c r="D2" s="264" t="s">
        <v>1</v>
      </c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</row>
    <row r="3" spans="1:21" x14ac:dyDescent="0.25">
      <c r="A3" s="263"/>
      <c r="B3" s="263"/>
      <c r="C3" s="263"/>
      <c r="D3" s="264" t="s">
        <v>2</v>
      </c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4"/>
    </row>
    <row r="4" spans="1:21" x14ac:dyDescent="0.25">
      <c r="A4" s="265" t="s">
        <v>3</v>
      </c>
      <c r="B4" s="265"/>
      <c r="C4" s="265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4"/>
    </row>
    <row r="5" spans="1:21" ht="21" customHeight="1" x14ac:dyDescent="0.25">
      <c r="A5" s="242"/>
      <c r="B5" s="243"/>
      <c r="C5" s="244"/>
      <c r="D5" s="245" t="s">
        <v>4</v>
      </c>
      <c r="E5" s="246"/>
      <c r="F5" s="246"/>
      <c r="G5" s="246"/>
      <c r="H5" s="246"/>
      <c r="I5" s="246"/>
      <c r="J5" s="246"/>
      <c r="K5" s="246"/>
      <c r="L5" s="247" t="s">
        <v>5</v>
      </c>
      <c r="M5" s="247"/>
      <c r="N5" s="247"/>
      <c r="O5" s="247"/>
      <c r="P5" s="247"/>
      <c r="Q5" s="248" t="s">
        <v>21</v>
      </c>
      <c r="R5" s="248"/>
      <c r="S5" s="248"/>
      <c r="T5" s="248"/>
      <c r="U5" s="249"/>
    </row>
    <row r="6" spans="1:21" x14ac:dyDescent="0.25">
      <c r="A6" s="14"/>
      <c r="B6" s="189"/>
      <c r="C6" s="189"/>
      <c r="U6" s="1"/>
    </row>
    <row r="7" spans="1:21" x14ac:dyDescent="0.25">
      <c r="A7" s="16"/>
      <c r="B7" s="250" t="s">
        <v>6</v>
      </c>
      <c r="C7" s="251"/>
      <c r="D7" s="251"/>
      <c r="E7" s="251"/>
      <c r="F7" s="251"/>
      <c r="G7" s="251"/>
      <c r="H7" s="251"/>
      <c r="I7" s="252"/>
      <c r="J7" s="22"/>
      <c r="K7" s="22"/>
      <c r="U7" s="1"/>
    </row>
    <row r="8" spans="1:21" x14ac:dyDescent="0.25">
      <c r="A8" s="16"/>
      <c r="B8" s="253" t="s">
        <v>7</v>
      </c>
      <c r="C8" s="253"/>
      <c r="D8" s="253"/>
      <c r="E8" s="253"/>
      <c r="F8" s="253"/>
      <c r="G8" s="253"/>
      <c r="H8" s="253"/>
      <c r="I8" s="253"/>
      <c r="J8" s="23"/>
      <c r="K8" s="23"/>
      <c r="L8" s="25"/>
      <c r="M8" s="3"/>
      <c r="N8" s="3"/>
      <c r="O8" s="3"/>
      <c r="P8" s="3"/>
      <c r="Q8" s="3"/>
      <c r="R8" s="3"/>
      <c r="S8" s="3"/>
      <c r="T8" s="3"/>
      <c r="U8" s="4"/>
    </row>
    <row r="9" spans="1:21" x14ac:dyDescent="0.25">
      <c r="A9" s="16"/>
      <c r="B9" s="253" t="s">
        <v>8</v>
      </c>
      <c r="C9" s="253"/>
      <c r="D9" s="253"/>
      <c r="E9" s="253"/>
      <c r="F9" s="253"/>
      <c r="G9" s="253"/>
      <c r="H9" s="253"/>
      <c r="I9" s="253"/>
      <c r="J9" s="23"/>
      <c r="K9" s="254" t="s">
        <v>9</v>
      </c>
      <c r="L9" s="254"/>
      <c r="M9" s="254"/>
      <c r="N9" s="254"/>
      <c r="O9" s="254"/>
      <c r="P9" s="254"/>
      <c r="Q9" s="254"/>
      <c r="R9" s="254"/>
      <c r="S9" s="254"/>
      <c r="T9" s="3"/>
      <c r="U9" s="4"/>
    </row>
    <row r="10" spans="1:21" x14ac:dyDescent="0.25">
      <c r="A10" s="16"/>
      <c r="B10" s="253" t="s">
        <v>10</v>
      </c>
      <c r="C10" s="253"/>
      <c r="D10" s="253"/>
      <c r="E10" s="253"/>
      <c r="F10" s="253"/>
      <c r="G10" s="253"/>
      <c r="H10" s="253"/>
      <c r="I10" s="253"/>
      <c r="J10" s="22"/>
      <c r="K10" s="255" t="s">
        <v>11</v>
      </c>
      <c r="L10" s="255"/>
      <c r="M10" s="255"/>
      <c r="N10" s="255"/>
      <c r="O10" s="255"/>
      <c r="P10" s="255"/>
      <c r="Q10" s="255"/>
      <c r="R10" s="255"/>
      <c r="S10" s="255"/>
      <c r="T10" s="2"/>
      <c r="U10" s="1"/>
    </row>
    <row r="11" spans="1:21" ht="35.25" customHeight="1" x14ac:dyDescent="0.25">
      <c r="A11" s="5"/>
      <c r="B11" s="256" t="s">
        <v>246</v>
      </c>
      <c r="C11" s="271"/>
      <c r="D11" s="271"/>
      <c r="E11" s="271"/>
      <c r="F11" s="272"/>
      <c r="G11" s="239" t="s">
        <v>353</v>
      </c>
      <c r="H11" s="237"/>
      <c r="I11" s="238"/>
      <c r="J11" s="23"/>
      <c r="K11" s="260" t="s">
        <v>28</v>
      </c>
      <c r="L11" s="261"/>
      <c r="M11" s="261"/>
      <c r="N11" s="261"/>
      <c r="O11" s="261"/>
      <c r="P11" s="261"/>
      <c r="Q11" s="261"/>
      <c r="R11" s="261"/>
      <c r="S11" s="262"/>
      <c r="T11" s="12"/>
      <c r="U11" s="6"/>
    </row>
    <row r="12" spans="1:21" ht="15" customHeight="1" x14ac:dyDescent="0.25">
      <c r="A12" s="5"/>
      <c r="B12" s="239" t="s">
        <v>22</v>
      </c>
      <c r="C12" s="240"/>
      <c r="D12" s="240"/>
      <c r="E12" s="240"/>
      <c r="F12" s="240"/>
      <c r="G12" s="240"/>
      <c r="H12" s="240"/>
      <c r="I12" s="241"/>
      <c r="J12" s="23"/>
      <c r="K12" s="225" t="s">
        <v>25</v>
      </c>
      <c r="L12" s="226"/>
      <c r="M12" s="226"/>
      <c r="N12" s="226"/>
      <c r="O12" s="226"/>
      <c r="P12" s="226"/>
      <c r="Q12" s="226"/>
      <c r="R12" s="226"/>
      <c r="S12" s="227"/>
      <c r="T12" s="12"/>
      <c r="U12" s="6"/>
    </row>
    <row r="13" spans="1:21" x14ac:dyDescent="0.25">
      <c r="A13" s="5"/>
      <c r="B13" s="236" t="s">
        <v>27</v>
      </c>
      <c r="C13" s="237"/>
      <c r="D13" s="237"/>
      <c r="E13" s="237"/>
      <c r="F13" s="237"/>
      <c r="G13" s="237"/>
      <c r="H13" s="237"/>
      <c r="I13" s="238"/>
      <c r="J13" s="24"/>
      <c r="K13" s="225" t="s">
        <v>324</v>
      </c>
      <c r="L13" s="226"/>
      <c r="M13" s="226"/>
      <c r="N13" s="226"/>
      <c r="O13" s="226"/>
      <c r="P13" s="226"/>
      <c r="Q13" s="226"/>
      <c r="R13" s="226"/>
      <c r="S13" s="227"/>
      <c r="T13" s="3"/>
      <c r="U13" s="4"/>
    </row>
    <row r="14" spans="1:21" ht="30" customHeight="1" x14ac:dyDescent="0.25">
      <c r="A14" s="5"/>
      <c r="B14" s="222" t="s">
        <v>26</v>
      </c>
      <c r="C14" s="223"/>
      <c r="D14" s="223"/>
      <c r="E14" s="223"/>
      <c r="F14" s="223"/>
      <c r="G14" s="223"/>
      <c r="H14" s="223"/>
      <c r="I14" s="224"/>
      <c r="J14" s="21"/>
      <c r="K14" s="225" t="s">
        <v>171</v>
      </c>
      <c r="L14" s="226"/>
      <c r="M14" s="226"/>
      <c r="N14" s="226"/>
      <c r="O14" s="226"/>
      <c r="P14" s="226"/>
      <c r="Q14" s="226"/>
      <c r="R14" s="226"/>
      <c r="S14" s="227"/>
      <c r="T14" s="7"/>
      <c r="U14" s="8"/>
    </row>
    <row r="15" spans="1:21" ht="15" customHeight="1" x14ac:dyDescent="0.25">
      <c r="A15" s="5"/>
      <c r="B15" s="228" t="s">
        <v>23</v>
      </c>
      <c r="C15" s="229"/>
      <c r="D15" s="229"/>
      <c r="E15" s="229"/>
      <c r="F15" s="229"/>
      <c r="G15" s="229"/>
      <c r="H15" s="229"/>
      <c r="I15" s="230"/>
      <c r="J15" s="21"/>
      <c r="K15" s="23"/>
      <c r="L15" s="25"/>
      <c r="M15" s="13"/>
      <c r="N15" s="13"/>
      <c r="O15" s="13"/>
      <c r="P15" s="13"/>
      <c r="Q15" s="13"/>
      <c r="R15" s="13"/>
      <c r="S15" s="13"/>
      <c r="T15" s="7"/>
      <c r="U15" s="8"/>
    </row>
    <row r="16" spans="1:21" x14ac:dyDescent="0.25">
      <c r="A16" s="9"/>
      <c r="B16" s="231" t="s">
        <v>24</v>
      </c>
      <c r="C16" s="232"/>
      <c r="D16" s="232"/>
      <c r="E16" s="232"/>
      <c r="F16" s="232"/>
      <c r="G16" s="232"/>
      <c r="H16" s="232"/>
      <c r="I16" s="233"/>
      <c r="J16" s="22"/>
      <c r="K16" s="22"/>
      <c r="L16" s="26"/>
      <c r="M16" s="2"/>
      <c r="N16" s="10"/>
      <c r="O16" s="10"/>
      <c r="P16" s="10"/>
      <c r="Q16" s="10"/>
      <c r="R16" s="10"/>
      <c r="S16" s="10"/>
      <c r="T16" s="2"/>
      <c r="U16" s="1"/>
    </row>
    <row r="17" spans="1:21" x14ac:dyDescent="0.25">
      <c r="A17" s="16"/>
      <c r="B17" s="10"/>
      <c r="C17" s="10"/>
      <c r="D17" s="10"/>
      <c r="E17" s="10"/>
      <c r="F17" s="10"/>
      <c r="G17" s="7"/>
      <c r="H17" s="7"/>
      <c r="I17" s="21"/>
      <c r="J17" s="22"/>
      <c r="K17" s="22"/>
      <c r="L17" s="26"/>
      <c r="M17" s="2"/>
      <c r="N17" s="10"/>
      <c r="O17" s="10"/>
      <c r="P17" s="10"/>
      <c r="Q17" s="10"/>
      <c r="R17" s="10"/>
      <c r="S17" s="10"/>
      <c r="T17" s="2"/>
      <c r="U17" s="1"/>
    </row>
    <row r="18" spans="1:21" ht="15.75" thickBot="1" x14ac:dyDescent="0.3">
      <c r="A18" s="16"/>
      <c r="B18" s="273" t="s">
        <v>12</v>
      </c>
      <c r="C18" s="273"/>
      <c r="D18" s="273"/>
      <c r="E18" s="273"/>
      <c r="F18" s="273"/>
      <c r="G18" s="273"/>
      <c r="H18" s="273"/>
      <c r="I18" s="274" t="s">
        <v>13</v>
      </c>
      <c r="J18" s="274"/>
      <c r="K18" s="274"/>
      <c r="L18" s="124" t="s">
        <v>14</v>
      </c>
      <c r="M18" s="275" t="s">
        <v>15</v>
      </c>
      <c r="N18" s="275"/>
      <c r="O18" s="275"/>
      <c r="P18" s="275"/>
      <c r="Q18" s="275"/>
      <c r="R18" s="275" t="s">
        <v>16</v>
      </c>
      <c r="S18" s="275"/>
      <c r="T18" s="275"/>
      <c r="U18" s="1"/>
    </row>
    <row r="19" spans="1:21" s="31" customFormat="1" ht="19.5" customHeight="1" x14ac:dyDescent="0.25">
      <c r="A19" s="28"/>
      <c r="B19" s="276" t="s">
        <v>346</v>
      </c>
      <c r="C19" s="277"/>
      <c r="D19" s="277"/>
      <c r="E19" s="277"/>
      <c r="F19" s="277"/>
      <c r="G19" s="277"/>
      <c r="H19" s="277"/>
      <c r="I19" s="278">
        <v>1</v>
      </c>
      <c r="J19" s="278"/>
      <c r="K19" s="278"/>
      <c r="L19" s="185" t="s">
        <v>14</v>
      </c>
      <c r="M19" s="279"/>
      <c r="N19" s="279"/>
      <c r="O19" s="279"/>
      <c r="P19" s="279"/>
      <c r="Q19" s="279"/>
      <c r="R19" s="279"/>
      <c r="S19" s="279"/>
      <c r="T19" s="280"/>
      <c r="U19" s="30"/>
    </row>
    <row r="20" spans="1:21" s="31" customFormat="1" ht="19.5" customHeight="1" x14ac:dyDescent="0.25">
      <c r="A20" s="28"/>
      <c r="B20" s="281" t="s">
        <v>135</v>
      </c>
      <c r="C20" s="282"/>
      <c r="D20" s="282"/>
      <c r="E20" s="282"/>
      <c r="F20" s="282"/>
      <c r="G20" s="282"/>
      <c r="H20" s="282"/>
      <c r="I20" s="283">
        <v>1</v>
      </c>
      <c r="J20" s="283"/>
      <c r="K20" s="283"/>
      <c r="L20" s="186" t="s">
        <v>14</v>
      </c>
      <c r="M20" s="284"/>
      <c r="N20" s="284"/>
      <c r="O20" s="284"/>
      <c r="P20" s="284"/>
      <c r="Q20" s="284"/>
      <c r="R20" s="284"/>
      <c r="S20" s="284"/>
      <c r="T20" s="285"/>
      <c r="U20" s="30"/>
    </row>
    <row r="21" spans="1:21" ht="27" customHeight="1" x14ac:dyDescent="0.25">
      <c r="A21" s="16"/>
      <c r="B21" s="286" t="s">
        <v>347</v>
      </c>
      <c r="C21" s="287"/>
      <c r="D21" s="287"/>
      <c r="E21" s="287"/>
      <c r="F21" s="287"/>
      <c r="G21" s="287"/>
      <c r="H21" s="287"/>
      <c r="I21" s="283">
        <v>1</v>
      </c>
      <c r="J21" s="283"/>
      <c r="K21" s="283"/>
      <c r="L21" s="186" t="s">
        <v>14</v>
      </c>
      <c r="M21" s="269"/>
      <c r="N21" s="269"/>
      <c r="O21" s="269"/>
      <c r="P21" s="269"/>
      <c r="Q21" s="269"/>
      <c r="R21" s="269"/>
      <c r="S21" s="269"/>
      <c r="T21" s="270"/>
      <c r="U21" s="1"/>
    </row>
    <row r="22" spans="1:21" ht="19.5" customHeight="1" x14ac:dyDescent="0.25">
      <c r="A22" s="16"/>
      <c r="B22" s="286" t="s">
        <v>348</v>
      </c>
      <c r="C22" s="287"/>
      <c r="D22" s="287"/>
      <c r="E22" s="287"/>
      <c r="F22" s="287"/>
      <c r="G22" s="287"/>
      <c r="H22" s="287"/>
      <c r="I22" s="283">
        <v>1</v>
      </c>
      <c r="J22" s="283"/>
      <c r="K22" s="283"/>
      <c r="L22" s="186" t="s">
        <v>14</v>
      </c>
      <c r="M22" s="269"/>
      <c r="N22" s="269"/>
      <c r="O22" s="269"/>
      <c r="P22" s="269"/>
      <c r="Q22" s="269"/>
      <c r="R22" s="269"/>
      <c r="S22" s="269"/>
      <c r="T22" s="270"/>
      <c r="U22" s="1"/>
    </row>
    <row r="23" spans="1:21" ht="19.5" customHeight="1" x14ac:dyDescent="0.25">
      <c r="A23" s="16"/>
      <c r="B23" s="288" t="s">
        <v>350</v>
      </c>
      <c r="C23" s="289"/>
      <c r="D23" s="289"/>
      <c r="E23" s="289"/>
      <c r="F23" s="289"/>
      <c r="G23" s="289"/>
      <c r="H23" s="289"/>
      <c r="I23" s="268">
        <v>1</v>
      </c>
      <c r="J23" s="268"/>
      <c r="K23" s="268"/>
      <c r="L23" s="187" t="s">
        <v>14</v>
      </c>
      <c r="M23" s="269"/>
      <c r="N23" s="269"/>
      <c r="O23" s="269"/>
      <c r="P23" s="269"/>
      <c r="Q23" s="269"/>
      <c r="R23" s="269"/>
      <c r="S23" s="269"/>
      <c r="T23" s="270"/>
      <c r="U23" s="1"/>
    </row>
    <row r="24" spans="1:21" ht="19.5" customHeight="1" x14ac:dyDescent="0.25">
      <c r="A24" s="16"/>
      <c r="B24" s="288" t="s">
        <v>88</v>
      </c>
      <c r="C24" s="289"/>
      <c r="D24" s="289"/>
      <c r="E24" s="289"/>
      <c r="F24" s="289"/>
      <c r="G24" s="289"/>
      <c r="H24" s="289"/>
      <c r="I24" s="268">
        <v>1</v>
      </c>
      <c r="J24" s="268"/>
      <c r="K24" s="268"/>
      <c r="L24" s="187" t="s">
        <v>14</v>
      </c>
      <c r="M24" s="269"/>
      <c r="N24" s="269"/>
      <c r="O24" s="269"/>
      <c r="P24" s="269"/>
      <c r="Q24" s="269"/>
      <c r="R24" s="269"/>
      <c r="S24" s="269"/>
      <c r="T24" s="270"/>
      <c r="U24" s="1"/>
    </row>
    <row r="25" spans="1:21" ht="19.5" customHeight="1" x14ac:dyDescent="0.25">
      <c r="A25" s="16"/>
      <c r="B25" s="288" t="s">
        <v>340</v>
      </c>
      <c r="C25" s="289"/>
      <c r="D25" s="289"/>
      <c r="E25" s="289"/>
      <c r="F25" s="289"/>
      <c r="G25" s="289"/>
      <c r="H25" s="289"/>
      <c r="I25" s="268">
        <v>30</v>
      </c>
      <c r="J25" s="268"/>
      <c r="K25" s="268"/>
      <c r="L25" s="187" t="s">
        <v>14</v>
      </c>
      <c r="M25" s="269"/>
      <c r="N25" s="269"/>
      <c r="O25" s="269"/>
      <c r="P25" s="269"/>
      <c r="Q25" s="269"/>
      <c r="R25" s="269"/>
      <c r="S25" s="269"/>
      <c r="T25" s="270"/>
      <c r="U25" s="1"/>
    </row>
    <row r="26" spans="1:21" ht="19.5" customHeight="1" x14ac:dyDescent="0.25">
      <c r="A26" s="16"/>
      <c r="B26" s="288" t="s">
        <v>206</v>
      </c>
      <c r="C26" s="289"/>
      <c r="D26" s="289"/>
      <c r="E26" s="289"/>
      <c r="F26" s="289"/>
      <c r="G26" s="289"/>
      <c r="H26" s="289"/>
      <c r="I26" s="268">
        <v>15</v>
      </c>
      <c r="J26" s="268"/>
      <c r="K26" s="268"/>
      <c r="L26" s="187" t="s">
        <v>14</v>
      </c>
      <c r="M26" s="269"/>
      <c r="N26" s="269"/>
      <c r="O26" s="269"/>
      <c r="P26" s="269"/>
      <c r="Q26" s="269"/>
      <c r="R26" s="269"/>
      <c r="S26" s="269"/>
      <c r="T26" s="270"/>
      <c r="U26" s="1"/>
    </row>
    <row r="27" spans="1:21" ht="19.5" customHeight="1" x14ac:dyDescent="0.25">
      <c r="A27" s="16"/>
      <c r="B27" s="290" t="s">
        <v>132</v>
      </c>
      <c r="C27" s="291"/>
      <c r="D27" s="291"/>
      <c r="E27" s="291"/>
      <c r="F27" s="291"/>
      <c r="G27" s="291"/>
      <c r="H27" s="291"/>
      <c r="I27" s="283">
        <v>10</v>
      </c>
      <c r="J27" s="283"/>
      <c r="K27" s="283"/>
      <c r="L27" s="186" t="s">
        <v>14</v>
      </c>
      <c r="M27" s="269"/>
      <c r="N27" s="269"/>
      <c r="O27" s="269"/>
      <c r="P27" s="269"/>
      <c r="Q27" s="269"/>
      <c r="R27" s="269"/>
      <c r="S27" s="269"/>
      <c r="T27" s="270"/>
      <c r="U27" s="1"/>
    </row>
    <row r="28" spans="1:21" ht="19.5" customHeight="1" x14ac:dyDescent="0.25">
      <c r="A28" s="16"/>
      <c r="B28" s="290" t="s">
        <v>125</v>
      </c>
      <c r="C28" s="291"/>
      <c r="D28" s="291"/>
      <c r="E28" s="291"/>
      <c r="F28" s="291"/>
      <c r="G28" s="291"/>
      <c r="H28" s="291"/>
      <c r="I28" s="283">
        <v>1</v>
      </c>
      <c r="J28" s="283"/>
      <c r="K28" s="283"/>
      <c r="L28" s="186" t="s">
        <v>14</v>
      </c>
      <c r="M28" s="269"/>
      <c r="N28" s="269"/>
      <c r="O28" s="269"/>
      <c r="P28" s="269"/>
      <c r="Q28" s="269"/>
      <c r="R28" s="269"/>
      <c r="S28" s="269"/>
      <c r="T28" s="270"/>
      <c r="U28" s="1"/>
    </row>
    <row r="29" spans="1:21" ht="19.5" customHeight="1" x14ac:dyDescent="0.25">
      <c r="A29" s="16"/>
      <c r="B29" s="266" t="s">
        <v>123</v>
      </c>
      <c r="C29" s="267"/>
      <c r="D29" s="267"/>
      <c r="E29" s="267"/>
      <c r="F29" s="267"/>
      <c r="G29" s="267"/>
      <c r="H29" s="267"/>
      <c r="I29" s="268">
        <v>1</v>
      </c>
      <c r="J29" s="268"/>
      <c r="K29" s="268"/>
      <c r="L29" s="32" t="s">
        <v>14</v>
      </c>
      <c r="M29" s="269"/>
      <c r="N29" s="269"/>
      <c r="O29" s="269"/>
      <c r="P29" s="269"/>
      <c r="Q29" s="269"/>
      <c r="R29" s="269"/>
      <c r="S29" s="269"/>
      <c r="T29" s="270"/>
      <c r="U29" s="1"/>
    </row>
    <row r="30" spans="1:21" ht="19.5" customHeight="1" x14ac:dyDescent="0.25">
      <c r="A30" s="16"/>
      <c r="B30" s="266" t="s">
        <v>307</v>
      </c>
      <c r="C30" s="267"/>
      <c r="D30" s="267"/>
      <c r="E30" s="267"/>
      <c r="F30" s="267"/>
      <c r="G30" s="267"/>
      <c r="H30" s="267"/>
      <c r="I30" s="268">
        <v>1</v>
      </c>
      <c r="J30" s="268"/>
      <c r="K30" s="268"/>
      <c r="L30" s="32" t="s">
        <v>14</v>
      </c>
      <c r="M30" s="269"/>
      <c r="N30" s="269"/>
      <c r="O30" s="269"/>
      <c r="P30" s="269"/>
      <c r="Q30" s="269"/>
      <c r="R30" s="269"/>
      <c r="S30" s="269"/>
      <c r="T30" s="270"/>
      <c r="U30" s="1"/>
    </row>
    <row r="31" spans="1:21" ht="19.5" customHeight="1" x14ac:dyDescent="0.25">
      <c r="A31" s="16"/>
      <c r="B31" s="266" t="s">
        <v>127</v>
      </c>
      <c r="C31" s="267"/>
      <c r="D31" s="267"/>
      <c r="E31" s="267"/>
      <c r="F31" s="267"/>
      <c r="G31" s="267"/>
      <c r="H31" s="267"/>
      <c r="I31" s="268">
        <v>40</v>
      </c>
      <c r="J31" s="268"/>
      <c r="K31" s="268"/>
      <c r="L31" s="32" t="s">
        <v>14</v>
      </c>
      <c r="M31" s="269"/>
      <c r="N31" s="269"/>
      <c r="O31" s="269"/>
      <c r="P31" s="269"/>
      <c r="Q31" s="269"/>
      <c r="R31" s="269"/>
      <c r="S31" s="269"/>
      <c r="T31" s="270"/>
      <c r="U31" s="1"/>
    </row>
    <row r="32" spans="1:21" ht="19.5" customHeight="1" x14ac:dyDescent="0.25">
      <c r="A32" s="16"/>
      <c r="B32" s="266" t="s">
        <v>338</v>
      </c>
      <c r="C32" s="267"/>
      <c r="D32" s="267"/>
      <c r="E32" s="267"/>
      <c r="F32" s="267"/>
      <c r="G32" s="267"/>
      <c r="H32" s="267"/>
      <c r="I32" s="268">
        <v>1</v>
      </c>
      <c r="J32" s="268"/>
      <c r="K32" s="268"/>
      <c r="L32" s="32" t="s">
        <v>14</v>
      </c>
      <c r="M32" s="269"/>
      <c r="N32" s="269"/>
      <c r="O32" s="269"/>
      <c r="P32" s="269"/>
      <c r="Q32" s="269"/>
      <c r="R32" s="269"/>
      <c r="S32" s="269"/>
      <c r="T32" s="270"/>
      <c r="U32" s="1"/>
    </row>
    <row r="33" spans="1:21" ht="19.5" customHeight="1" x14ac:dyDescent="0.25">
      <c r="A33" s="16"/>
      <c r="B33" s="266" t="s">
        <v>51</v>
      </c>
      <c r="C33" s="267"/>
      <c r="D33" s="267"/>
      <c r="E33" s="267"/>
      <c r="F33" s="267"/>
      <c r="G33" s="267"/>
      <c r="H33" s="267"/>
      <c r="I33" s="268">
        <v>2</v>
      </c>
      <c r="J33" s="268"/>
      <c r="K33" s="268"/>
      <c r="L33" s="32" t="s">
        <v>14</v>
      </c>
      <c r="M33" s="269"/>
      <c r="N33" s="269"/>
      <c r="O33" s="269"/>
      <c r="P33" s="269"/>
      <c r="Q33" s="269"/>
      <c r="R33" s="269"/>
      <c r="S33" s="269"/>
      <c r="T33" s="270"/>
      <c r="U33" s="1"/>
    </row>
    <row r="34" spans="1:21" ht="19.5" customHeight="1" x14ac:dyDescent="0.25">
      <c r="A34" s="16"/>
      <c r="B34" s="266" t="s">
        <v>56</v>
      </c>
      <c r="C34" s="267"/>
      <c r="D34" s="267"/>
      <c r="E34" s="267"/>
      <c r="F34" s="267"/>
      <c r="G34" s="267"/>
      <c r="H34" s="267"/>
      <c r="I34" s="268">
        <v>50</v>
      </c>
      <c r="J34" s="268"/>
      <c r="K34" s="268"/>
      <c r="L34" s="32" t="s">
        <v>14</v>
      </c>
      <c r="M34" s="269"/>
      <c r="N34" s="269"/>
      <c r="O34" s="269"/>
      <c r="P34" s="269"/>
      <c r="Q34" s="269"/>
      <c r="R34" s="269"/>
      <c r="S34" s="269"/>
      <c r="T34" s="270"/>
      <c r="U34" s="1"/>
    </row>
    <row r="35" spans="1:21" ht="19.5" customHeight="1" x14ac:dyDescent="0.25">
      <c r="A35" s="16"/>
      <c r="B35" s="266" t="s">
        <v>269</v>
      </c>
      <c r="C35" s="267"/>
      <c r="D35" s="267"/>
      <c r="E35" s="267"/>
      <c r="F35" s="267"/>
      <c r="G35" s="267"/>
      <c r="H35" s="267"/>
      <c r="I35" s="268">
        <v>10</v>
      </c>
      <c r="J35" s="268"/>
      <c r="K35" s="268"/>
      <c r="L35" s="32" t="s">
        <v>14</v>
      </c>
      <c r="M35" s="269"/>
      <c r="N35" s="269"/>
      <c r="O35" s="269"/>
      <c r="P35" s="269"/>
      <c r="Q35" s="269"/>
      <c r="R35" s="269"/>
      <c r="S35" s="269"/>
      <c r="T35" s="270"/>
      <c r="U35" s="1"/>
    </row>
    <row r="36" spans="1:21" ht="19.5" customHeight="1" x14ac:dyDescent="0.25">
      <c r="A36" s="16"/>
      <c r="B36" s="266" t="s">
        <v>272</v>
      </c>
      <c r="C36" s="267"/>
      <c r="D36" s="267"/>
      <c r="E36" s="267"/>
      <c r="F36" s="267"/>
      <c r="G36" s="267"/>
      <c r="H36" s="267"/>
      <c r="I36" s="268">
        <v>7</v>
      </c>
      <c r="J36" s="268"/>
      <c r="K36" s="268"/>
      <c r="L36" s="32" t="s">
        <v>14</v>
      </c>
      <c r="M36" s="269"/>
      <c r="N36" s="269"/>
      <c r="O36" s="269"/>
      <c r="P36" s="269"/>
      <c r="Q36" s="269"/>
      <c r="R36" s="269"/>
      <c r="S36" s="269"/>
      <c r="T36" s="270"/>
      <c r="U36" s="1"/>
    </row>
    <row r="37" spans="1:21" ht="19.5" customHeight="1" x14ac:dyDescent="0.25">
      <c r="A37" s="16"/>
      <c r="B37" s="266" t="s">
        <v>311</v>
      </c>
      <c r="C37" s="267"/>
      <c r="D37" s="267"/>
      <c r="E37" s="267"/>
      <c r="F37" s="267"/>
      <c r="G37" s="267"/>
      <c r="H37" s="267"/>
      <c r="I37" s="268">
        <v>1</v>
      </c>
      <c r="J37" s="268"/>
      <c r="K37" s="268"/>
      <c r="L37" s="32" t="s">
        <v>14</v>
      </c>
      <c r="M37" s="269"/>
      <c r="N37" s="269"/>
      <c r="O37" s="269"/>
      <c r="P37" s="269"/>
      <c r="Q37" s="269"/>
      <c r="R37" s="269"/>
      <c r="S37" s="269"/>
      <c r="T37" s="270"/>
      <c r="U37" s="1"/>
    </row>
    <row r="38" spans="1:21" ht="19.5" customHeight="1" thickBot="1" x14ac:dyDescent="0.3">
      <c r="A38" s="16"/>
      <c r="B38" s="292" t="s">
        <v>277</v>
      </c>
      <c r="C38" s="293"/>
      <c r="D38" s="293"/>
      <c r="E38" s="293"/>
      <c r="F38" s="293"/>
      <c r="G38" s="293"/>
      <c r="H38" s="293"/>
      <c r="I38" s="294">
        <v>1</v>
      </c>
      <c r="J38" s="294"/>
      <c r="K38" s="294"/>
      <c r="L38" s="188" t="s">
        <v>14</v>
      </c>
      <c r="M38" s="295"/>
      <c r="N38" s="295"/>
      <c r="O38" s="295"/>
      <c r="P38" s="295"/>
      <c r="Q38" s="295"/>
      <c r="R38" s="295"/>
      <c r="S38" s="295"/>
      <c r="T38" s="296"/>
      <c r="U38" s="1"/>
    </row>
    <row r="39" spans="1:21" ht="47.25" customHeight="1" x14ac:dyDescent="0.25">
      <c r="A39" s="16"/>
      <c r="B39" s="297"/>
      <c r="C39" s="298"/>
      <c r="D39" s="298"/>
      <c r="E39" s="299"/>
      <c r="F39" s="300" t="s">
        <v>17</v>
      </c>
      <c r="G39" s="300"/>
      <c r="H39" s="300"/>
      <c r="I39" s="300"/>
      <c r="J39" s="300"/>
      <c r="K39" s="300"/>
      <c r="L39" s="300"/>
      <c r="M39" s="300"/>
      <c r="N39" s="300"/>
      <c r="O39" s="300"/>
      <c r="P39" s="301"/>
      <c r="Q39" s="254"/>
      <c r="R39" s="254"/>
      <c r="S39" s="254"/>
      <c r="T39" s="302"/>
      <c r="U39" s="1"/>
    </row>
    <row r="40" spans="1:21" ht="13.5" customHeight="1" x14ac:dyDescent="0.25">
      <c r="A40" s="16"/>
      <c r="B40" s="303"/>
      <c r="C40" s="304"/>
      <c r="D40" s="304"/>
      <c r="E40" s="304"/>
      <c r="F40" s="304"/>
      <c r="G40" s="305"/>
      <c r="H40" s="206" t="s">
        <v>18</v>
      </c>
      <c r="I40" s="206"/>
      <c r="J40" s="206"/>
      <c r="K40" s="206"/>
      <c r="L40" s="206"/>
      <c r="M40" s="206"/>
      <c r="N40" s="206"/>
      <c r="O40" s="206"/>
      <c r="P40" s="203"/>
      <c r="Q40" s="204"/>
      <c r="R40" s="204"/>
      <c r="S40" s="204"/>
      <c r="T40" s="205"/>
      <c r="U40" s="1"/>
    </row>
    <row r="41" spans="1:21" ht="15" customHeight="1" x14ac:dyDescent="0.25">
      <c r="B41" s="195" t="s">
        <v>19</v>
      </c>
      <c r="C41" s="195"/>
      <c r="D41" s="195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6"/>
    </row>
    <row r="42" spans="1:21" x14ac:dyDescent="0.25">
      <c r="A42" s="17"/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8"/>
    </row>
    <row r="44" spans="1:21" x14ac:dyDescent="0.25">
      <c r="A44" t="s">
        <v>20</v>
      </c>
    </row>
  </sheetData>
  <mergeCells count="117">
    <mergeCell ref="B41:U42"/>
    <mergeCell ref="B39:E39"/>
    <mergeCell ref="F39:O39"/>
    <mergeCell ref="P39:T39"/>
    <mergeCell ref="B40:G40"/>
    <mergeCell ref="H40:O40"/>
    <mergeCell ref="P40:T40"/>
    <mergeCell ref="B29:H29"/>
    <mergeCell ref="I29:K29"/>
    <mergeCell ref="M29:Q29"/>
    <mergeCell ref="R29:T29"/>
    <mergeCell ref="B38:H38"/>
    <mergeCell ref="I38:K38"/>
    <mergeCell ref="M38:Q38"/>
    <mergeCell ref="R38:T38"/>
    <mergeCell ref="B30:H30"/>
    <mergeCell ref="I30:K30"/>
    <mergeCell ref="M30:Q30"/>
    <mergeCell ref="R30:T30"/>
    <mergeCell ref="B31:H31"/>
    <mergeCell ref="I31:K31"/>
    <mergeCell ref="M31:Q31"/>
    <mergeCell ref="R31:T31"/>
    <mergeCell ref="B26:H26"/>
    <mergeCell ref="I26:K26"/>
    <mergeCell ref="M26:Q26"/>
    <mergeCell ref="R26:T26"/>
    <mergeCell ref="B27:H27"/>
    <mergeCell ref="I27:K27"/>
    <mergeCell ref="M27:Q27"/>
    <mergeCell ref="R27:T27"/>
    <mergeCell ref="B28:H28"/>
    <mergeCell ref="I28:K28"/>
    <mergeCell ref="M28:Q28"/>
    <mergeCell ref="R28:T28"/>
    <mergeCell ref="B23:H23"/>
    <mergeCell ref="I23:K23"/>
    <mergeCell ref="M23:Q23"/>
    <mergeCell ref="R23:T23"/>
    <mergeCell ref="B24:H24"/>
    <mergeCell ref="I24:K24"/>
    <mergeCell ref="M24:Q24"/>
    <mergeCell ref="R24:T24"/>
    <mergeCell ref="B25:H25"/>
    <mergeCell ref="I25:K25"/>
    <mergeCell ref="M25:Q25"/>
    <mergeCell ref="R25:T25"/>
    <mergeCell ref="B20:H20"/>
    <mergeCell ref="I20:K20"/>
    <mergeCell ref="M20:Q20"/>
    <mergeCell ref="R20:T20"/>
    <mergeCell ref="B21:H21"/>
    <mergeCell ref="I21:K21"/>
    <mergeCell ref="M21:Q21"/>
    <mergeCell ref="R21:T21"/>
    <mergeCell ref="B22:H22"/>
    <mergeCell ref="I22:K22"/>
    <mergeCell ref="M22:Q22"/>
    <mergeCell ref="R22:T22"/>
    <mergeCell ref="A1:C3"/>
    <mergeCell ref="D1:U1"/>
    <mergeCell ref="D2:U2"/>
    <mergeCell ref="D3:U4"/>
    <mergeCell ref="A4:C4"/>
    <mergeCell ref="B13:I13"/>
    <mergeCell ref="K13:S13"/>
    <mergeCell ref="B7:I7"/>
    <mergeCell ref="B8:I8"/>
    <mergeCell ref="B9:I9"/>
    <mergeCell ref="K9:S9"/>
    <mergeCell ref="B10:I10"/>
    <mergeCell ref="K10:S10"/>
    <mergeCell ref="B11:F11"/>
    <mergeCell ref="G11:I11"/>
    <mergeCell ref="K11:S11"/>
    <mergeCell ref="B12:I12"/>
    <mergeCell ref="K12:S12"/>
    <mergeCell ref="B32:H32"/>
    <mergeCell ref="I32:K32"/>
    <mergeCell ref="M32:Q32"/>
    <mergeCell ref="R32:T32"/>
    <mergeCell ref="B33:H33"/>
    <mergeCell ref="I33:K33"/>
    <mergeCell ref="M33:Q33"/>
    <mergeCell ref="R33:T33"/>
    <mergeCell ref="A5:C5"/>
    <mergeCell ref="D5:K5"/>
    <mergeCell ref="L5:P5"/>
    <mergeCell ref="Q5:U5"/>
    <mergeCell ref="B14:I14"/>
    <mergeCell ref="K14:S14"/>
    <mergeCell ref="B15:I15"/>
    <mergeCell ref="B16:I16"/>
    <mergeCell ref="B18:H18"/>
    <mergeCell ref="I18:K18"/>
    <mergeCell ref="M18:Q18"/>
    <mergeCell ref="R18:T18"/>
    <mergeCell ref="B19:H19"/>
    <mergeCell ref="I19:K19"/>
    <mergeCell ref="M19:Q19"/>
    <mergeCell ref="R19:T19"/>
    <mergeCell ref="B36:H36"/>
    <mergeCell ref="I36:K36"/>
    <mergeCell ref="M36:Q36"/>
    <mergeCell ref="R36:T36"/>
    <mergeCell ref="B37:H37"/>
    <mergeCell ref="I37:K37"/>
    <mergeCell ref="M37:Q37"/>
    <mergeCell ref="R37:T37"/>
    <mergeCell ref="B34:H34"/>
    <mergeCell ref="I34:K34"/>
    <mergeCell ref="M34:Q34"/>
    <mergeCell ref="R34:T34"/>
    <mergeCell ref="B35:H35"/>
    <mergeCell ref="I35:K35"/>
    <mergeCell ref="M35:Q35"/>
    <mergeCell ref="R35:T35"/>
  </mergeCells>
  <phoneticPr fontId="23" type="noConversion"/>
  <printOptions horizontalCentered="1"/>
  <pageMargins left="0.70866141732283472" right="0.70866141732283472" top="0.74803149606299213" bottom="0.74803149606299213" header="0.31496062992125984" footer="0.31496062992125984"/>
  <pageSetup scale="7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65662-3B7D-4345-9B80-24DF70DFEF50}">
  <sheetPr>
    <tabColor theme="9" tint="-0.499984740745262"/>
    <pageSetUpPr fitToPage="1"/>
  </sheetPr>
  <dimension ref="A1:U38"/>
  <sheetViews>
    <sheetView view="pageBreakPreview" topLeftCell="A26" zoomScale="90" zoomScaleNormal="100" zoomScaleSheetLayoutView="90" workbookViewId="0">
      <selection activeCell="F33" sqref="F33:O33"/>
    </sheetView>
  </sheetViews>
  <sheetFormatPr baseColWidth="10" defaultColWidth="10.7109375" defaultRowHeight="15" x14ac:dyDescent="0.25"/>
  <cols>
    <col min="1" max="1" width="2" customWidth="1"/>
    <col min="2" max="2" width="6.28515625" customWidth="1"/>
    <col min="3" max="3" width="5.7109375" customWidth="1"/>
    <col min="4" max="4" width="11.85546875" customWidth="1"/>
    <col min="5" max="5" width="3.5703125" customWidth="1"/>
    <col min="6" max="6" width="2.85546875" customWidth="1"/>
    <col min="7" max="7" width="3.28515625" customWidth="1"/>
    <col min="8" max="8" width="25.7109375" customWidth="1"/>
    <col min="9" max="9" width="5.85546875" style="20" customWidth="1"/>
    <col min="10" max="10" width="4.85546875" style="20" customWidth="1"/>
    <col min="11" max="11" width="2.5703125" style="20" customWidth="1"/>
    <col min="12" max="12" width="14" style="19" customWidth="1"/>
    <col min="13" max="13" width="1.85546875" customWidth="1"/>
    <col min="14" max="14" width="2.28515625" customWidth="1"/>
    <col min="15" max="15" width="1.85546875" customWidth="1"/>
    <col min="16" max="16" width="2.7109375" customWidth="1"/>
    <col min="17" max="18" width="3.85546875" customWidth="1"/>
    <col min="19" max="19" width="4" customWidth="1"/>
    <col min="20" max="20" width="3.28515625" customWidth="1"/>
    <col min="21" max="21" width="1.7109375" customWidth="1"/>
  </cols>
  <sheetData>
    <row r="1" spans="1:21" x14ac:dyDescent="0.25">
      <c r="A1" s="263"/>
      <c r="B1" s="263"/>
      <c r="C1" s="263"/>
      <c r="D1" s="264" t="s">
        <v>0</v>
      </c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</row>
    <row r="2" spans="1:21" x14ac:dyDescent="0.25">
      <c r="A2" s="263"/>
      <c r="B2" s="263"/>
      <c r="C2" s="263"/>
      <c r="D2" s="264" t="s">
        <v>1</v>
      </c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</row>
    <row r="3" spans="1:21" x14ac:dyDescent="0.25">
      <c r="A3" s="263"/>
      <c r="B3" s="263"/>
      <c r="C3" s="263"/>
      <c r="D3" s="264" t="s">
        <v>2</v>
      </c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4"/>
    </row>
    <row r="4" spans="1:21" x14ac:dyDescent="0.25">
      <c r="A4" s="265" t="s">
        <v>3</v>
      </c>
      <c r="B4" s="265"/>
      <c r="C4" s="265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4"/>
    </row>
    <row r="5" spans="1:21" ht="21" customHeight="1" x14ac:dyDescent="0.25">
      <c r="A5" s="242"/>
      <c r="B5" s="243"/>
      <c r="C5" s="244"/>
      <c r="D5" s="245" t="s">
        <v>4</v>
      </c>
      <c r="E5" s="246"/>
      <c r="F5" s="246"/>
      <c r="G5" s="246"/>
      <c r="H5" s="246"/>
      <c r="I5" s="246"/>
      <c r="J5" s="246"/>
      <c r="K5" s="246"/>
      <c r="L5" s="247" t="s">
        <v>5</v>
      </c>
      <c r="M5" s="247"/>
      <c r="N5" s="247"/>
      <c r="O5" s="247"/>
      <c r="P5" s="247"/>
      <c r="Q5" s="248" t="s">
        <v>21</v>
      </c>
      <c r="R5" s="248"/>
      <c r="S5" s="248"/>
      <c r="T5" s="248"/>
      <c r="U5" s="249"/>
    </row>
    <row r="6" spans="1:21" x14ac:dyDescent="0.25">
      <c r="A6" s="14"/>
      <c r="B6" s="15"/>
      <c r="C6" s="15"/>
      <c r="U6" s="1"/>
    </row>
    <row r="7" spans="1:21" x14ac:dyDescent="0.25">
      <c r="A7" s="16"/>
      <c r="B7" s="250" t="s">
        <v>6</v>
      </c>
      <c r="C7" s="251"/>
      <c r="D7" s="251"/>
      <c r="E7" s="251"/>
      <c r="F7" s="251"/>
      <c r="G7" s="251"/>
      <c r="H7" s="251"/>
      <c r="I7" s="252"/>
      <c r="J7" s="22"/>
      <c r="K7" s="22"/>
      <c r="U7" s="1"/>
    </row>
    <row r="8" spans="1:21" x14ac:dyDescent="0.25">
      <c r="A8" s="16"/>
      <c r="B8" s="253" t="s">
        <v>7</v>
      </c>
      <c r="C8" s="253"/>
      <c r="D8" s="253"/>
      <c r="E8" s="253"/>
      <c r="F8" s="253"/>
      <c r="G8" s="253"/>
      <c r="H8" s="253"/>
      <c r="I8" s="253"/>
      <c r="J8" s="23"/>
      <c r="K8" s="23"/>
      <c r="L8" s="25"/>
      <c r="M8" s="3"/>
      <c r="N8" s="3"/>
      <c r="O8" s="3"/>
      <c r="P8" s="3"/>
      <c r="Q8" s="3"/>
      <c r="R8" s="3"/>
      <c r="S8" s="3"/>
      <c r="T8" s="3"/>
      <c r="U8" s="4"/>
    </row>
    <row r="9" spans="1:21" x14ac:dyDescent="0.25">
      <c r="A9" s="16"/>
      <c r="B9" s="253" t="s">
        <v>8</v>
      </c>
      <c r="C9" s="253"/>
      <c r="D9" s="253"/>
      <c r="E9" s="253"/>
      <c r="F9" s="253"/>
      <c r="G9" s="253"/>
      <c r="H9" s="253"/>
      <c r="I9" s="253"/>
      <c r="J9" s="23"/>
      <c r="K9" s="254" t="s">
        <v>9</v>
      </c>
      <c r="L9" s="254"/>
      <c r="M9" s="254"/>
      <c r="N9" s="254"/>
      <c r="O9" s="254"/>
      <c r="P9" s="254"/>
      <c r="Q9" s="254"/>
      <c r="R9" s="254"/>
      <c r="S9" s="254"/>
      <c r="T9" s="3"/>
      <c r="U9" s="4"/>
    </row>
    <row r="10" spans="1:21" x14ac:dyDescent="0.25">
      <c r="A10" s="16"/>
      <c r="B10" s="253" t="s">
        <v>10</v>
      </c>
      <c r="C10" s="253"/>
      <c r="D10" s="253"/>
      <c r="E10" s="253"/>
      <c r="F10" s="253"/>
      <c r="G10" s="253"/>
      <c r="H10" s="253"/>
      <c r="I10" s="253"/>
      <c r="J10" s="22"/>
      <c r="K10" s="255" t="s">
        <v>11</v>
      </c>
      <c r="L10" s="255"/>
      <c r="M10" s="255"/>
      <c r="N10" s="255"/>
      <c r="O10" s="255"/>
      <c r="P10" s="255"/>
      <c r="Q10" s="255"/>
      <c r="R10" s="255"/>
      <c r="S10" s="255"/>
      <c r="T10" s="2"/>
      <c r="U10" s="1"/>
    </row>
    <row r="11" spans="1:21" ht="35.25" customHeight="1" x14ac:dyDescent="0.25">
      <c r="A11" s="5"/>
      <c r="B11" s="256" t="s">
        <v>170</v>
      </c>
      <c r="C11" s="257"/>
      <c r="D11" s="257"/>
      <c r="E11" s="257"/>
      <c r="F11" s="258"/>
      <c r="G11" s="239" t="s">
        <v>354</v>
      </c>
      <c r="H11" s="237"/>
      <c r="I11" s="238"/>
      <c r="J11" s="23"/>
      <c r="K11" s="260" t="s">
        <v>28</v>
      </c>
      <c r="L11" s="261"/>
      <c r="M11" s="261"/>
      <c r="N11" s="261"/>
      <c r="O11" s="261"/>
      <c r="P11" s="261"/>
      <c r="Q11" s="261"/>
      <c r="R11" s="261"/>
      <c r="S11" s="262"/>
      <c r="T11" s="12"/>
      <c r="U11" s="6"/>
    </row>
    <row r="12" spans="1:21" ht="15" customHeight="1" x14ac:dyDescent="0.25">
      <c r="A12" s="5"/>
      <c r="B12" s="239" t="s">
        <v>22</v>
      </c>
      <c r="C12" s="240"/>
      <c r="D12" s="240"/>
      <c r="E12" s="240"/>
      <c r="F12" s="240"/>
      <c r="G12" s="240"/>
      <c r="H12" s="240"/>
      <c r="I12" s="241"/>
      <c r="J12" s="23"/>
      <c r="K12" s="225" t="s">
        <v>25</v>
      </c>
      <c r="L12" s="226"/>
      <c r="M12" s="226"/>
      <c r="N12" s="226"/>
      <c r="O12" s="226"/>
      <c r="P12" s="226"/>
      <c r="Q12" s="226"/>
      <c r="R12" s="226"/>
      <c r="S12" s="227"/>
      <c r="T12" s="12"/>
      <c r="U12" s="6"/>
    </row>
    <row r="13" spans="1:21" x14ac:dyDescent="0.25">
      <c r="A13" s="5"/>
      <c r="B13" s="236" t="s">
        <v>27</v>
      </c>
      <c r="C13" s="237"/>
      <c r="D13" s="237"/>
      <c r="E13" s="237"/>
      <c r="F13" s="237"/>
      <c r="G13" s="237"/>
      <c r="H13" s="237"/>
      <c r="I13" s="238"/>
      <c r="J13" s="24"/>
      <c r="K13" s="225" t="s">
        <v>324</v>
      </c>
      <c r="L13" s="226"/>
      <c r="M13" s="226"/>
      <c r="N13" s="226"/>
      <c r="O13" s="226"/>
      <c r="P13" s="226"/>
      <c r="Q13" s="226"/>
      <c r="R13" s="226"/>
      <c r="S13" s="227"/>
      <c r="T13" s="3"/>
      <c r="U13" s="4"/>
    </row>
    <row r="14" spans="1:21" ht="30" customHeight="1" x14ac:dyDescent="0.25">
      <c r="A14" s="5"/>
      <c r="B14" s="222" t="s">
        <v>26</v>
      </c>
      <c r="C14" s="223"/>
      <c r="D14" s="223"/>
      <c r="E14" s="223"/>
      <c r="F14" s="223"/>
      <c r="G14" s="223"/>
      <c r="H14" s="223"/>
      <c r="I14" s="224"/>
      <c r="J14" s="21"/>
      <c r="K14" s="225" t="s">
        <v>172</v>
      </c>
      <c r="L14" s="226"/>
      <c r="M14" s="226"/>
      <c r="N14" s="226"/>
      <c r="O14" s="226"/>
      <c r="P14" s="226"/>
      <c r="Q14" s="226"/>
      <c r="R14" s="226"/>
      <c r="S14" s="227"/>
      <c r="T14" s="7"/>
      <c r="U14" s="8"/>
    </row>
    <row r="15" spans="1:21" ht="15" customHeight="1" x14ac:dyDescent="0.25">
      <c r="A15" s="5"/>
      <c r="B15" s="228" t="s">
        <v>23</v>
      </c>
      <c r="C15" s="229"/>
      <c r="D15" s="229"/>
      <c r="E15" s="229"/>
      <c r="F15" s="229"/>
      <c r="G15" s="229"/>
      <c r="H15" s="229"/>
      <c r="I15" s="230"/>
      <c r="J15" s="21"/>
      <c r="K15" s="23"/>
      <c r="L15" s="25"/>
      <c r="M15" s="13"/>
      <c r="N15" s="13"/>
      <c r="O15" s="13"/>
      <c r="P15" s="13"/>
      <c r="Q15" s="13"/>
      <c r="R15" s="13"/>
      <c r="S15" s="13"/>
      <c r="T15" s="7"/>
      <c r="U15" s="8"/>
    </row>
    <row r="16" spans="1:21" x14ac:dyDescent="0.25">
      <c r="A16" s="9"/>
      <c r="B16" s="231" t="s">
        <v>24</v>
      </c>
      <c r="C16" s="232"/>
      <c r="D16" s="232"/>
      <c r="E16" s="232"/>
      <c r="F16" s="232"/>
      <c r="G16" s="232"/>
      <c r="H16" s="232"/>
      <c r="I16" s="233"/>
      <c r="J16" s="22"/>
      <c r="K16" s="22"/>
      <c r="L16" s="26"/>
      <c r="M16" s="2"/>
      <c r="N16" s="10"/>
      <c r="O16" s="10"/>
      <c r="P16" s="10"/>
      <c r="Q16" s="10"/>
      <c r="R16" s="10"/>
      <c r="S16" s="10"/>
      <c r="T16" s="2"/>
      <c r="U16" s="1"/>
    </row>
    <row r="17" spans="1:21" x14ac:dyDescent="0.25">
      <c r="A17" s="16"/>
      <c r="B17" s="11"/>
      <c r="C17" s="11"/>
      <c r="D17" s="11"/>
      <c r="E17" s="11"/>
      <c r="F17" s="11"/>
      <c r="G17" s="7"/>
      <c r="H17" s="7"/>
      <c r="I17" s="21"/>
      <c r="J17" s="22"/>
      <c r="K17" s="22"/>
      <c r="L17" s="26"/>
      <c r="M17" s="2"/>
      <c r="N17" s="10"/>
      <c r="O17" s="10"/>
      <c r="P17" s="10"/>
      <c r="Q17" s="10"/>
      <c r="R17" s="10"/>
      <c r="S17" s="10"/>
      <c r="T17" s="2"/>
      <c r="U17" s="1"/>
    </row>
    <row r="18" spans="1:21" x14ac:dyDescent="0.25">
      <c r="A18" s="16"/>
      <c r="B18" s="234" t="s">
        <v>12</v>
      </c>
      <c r="C18" s="234"/>
      <c r="D18" s="234"/>
      <c r="E18" s="234"/>
      <c r="F18" s="234"/>
      <c r="G18" s="234"/>
      <c r="H18" s="234"/>
      <c r="I18" s="235" t="s">
        <v>13</v>
      </c>
      <c r="J18" s="235"/>
      <c r="K18" s="235"/>
      <c r="L18" s="18" t="s">
        <v>14</v>
      </c>
      <c r="M18" s="194" t="s">
        <v>15</v>
      </c>
      <c r="N18" s="194"/>
      <c r="O18" s="194"/>
      <c r="P18" s="194"/>
      <c r="Q18" s="194"/>
      <c r="R18" s="194" t="s">
        <v>16</v>
      </c>
      <c r="S18" s="194"/>
      <c r="T18" s="194"/>
      <c r="U18" s="1"/>
    </row>
    <row r="19" spans="1:21" s="31" customFormat="1" ht="27" customHeight="1" x14ac:dyDescent="0.25">
      <c r="A19" s="28"/>
      <c r="B19" s="218" t="s">
        <v>80</v>
      </c>
      <c r="C19" s="219"/>
      <c r="D19" s="219"/>
      <c r="E19" s="219"/>
      <c r="F19" s="219"/>
      <c r="G19" s="219"/>
      <c r="H19" s="220"/>
      <c r="I19" s="221">
        <v>2</v>
      </c>
      <c r="J19" s="212"/>
      <c r="K19" s="213"/>
      <c r="L19" s="29" t="s">
        <v>14</v>
      </c>
      <c r="M19" s="214"/>
      <c r="N19" s="214"/>
      <c r="O19" s="214"/>
      <c r="P19" s="214"/>
      <c r="Q19" s="214"/>
      <c r="R19" s="214"/>
      <c r="S19" s="214"/>
      <c r="T19" s="214"/>
      <c r="U19" s="30"/>
    </row>
    <row r="20" spans="1:21" s="31" customFormat="1" ht="33" customHeight="1" x14ac:dyDescent="0.25">
      <c r="A20" s="28"/>
      <c r="B20" s="210" t="s">
        <v>77</v>
      </c>
      <c r="C20" s="210"/>
      <c r="D20" s="210"/>
      <c r="E20" s="210"/>
      <c r="F20" s="210"/>
      <c r="G20" s="210"/>
      <c r="H20" s="210"/>
      <c r="I20" s="211">
        <v>36</v>
      </c>
      <c r="J20" s="212"/>
      <c r="K20" s="213"/>
      <c r="L20" s="29" t="s">
        <v>14</v>
      </c>
      <c r="M20" s="214"/>
      <c r="N20" s="214"/>
      <c r="O20" s="214"/>
      <c r="P20" s="214"/>
      <c r="Q20" s="214"/>
      <c r="R20" s="214"/>
      <c r="S20" s="214"/>
      <c r="T20" s="214"/>
      <c r="U20" s="30"/>
    </row>
    <row r="21" spans="1:21" s="31" customFormat="1" ht="24" customHeight="1" x14ac:dyDescent="0.25">
      <c r="A21" s="28"/>
      <c r="B21" s="218" t="s">
        <v>66</v>
      </c>
      <c r="C21" s="219"/>
      <c r="D21" s="219"/>
      <c r="E21" s="219"/>
      <c r="F21" s="219"/>
      <c r="G21" s="219"/>
      <c r="H21" s="220"/>
      <c r="I21" s="221">
        <v>24</v>
      </c>
      <c r="J21" s="212"/>
      <c r="K21" s="213"/>
      <c r="L21" s="29" t="s">
        <v>14</v>
      </c>
      <c r="M21" s="214"/>
      <c r="N21" s="214"/>
      <c r="O21" s="214"/>
      <c r="P21" s="214"/>
      <c r="Q21" s="214"/>
      <c r="R21" s="214"/>
      <c r="S21" s="214"/>
      <c r="T21" s="214"/>
      <c r="U21" s="30"/>
    </row>
    <row r="22" spans="1:21" s="31" customFormat="1" ht="33" customHeight="1" x14ac:dyDescent="0.25">
      <c r="A22" s="28"/>
      <c r="B22" s="210" t="s">
        <v>56</v>
      </c>
      <c r="C22" s="210"/>
      <c r="D22" s="210"/>
      <c r="E22" s="210"/>
      <c r="F22" s="210"/>
      <c r="G22" s="210"/>
      <c r="H22" s="210"/>
      <c r="I22" s="211">
        <v>50</v>
      </c>
      <c r="J22" s="212"/>
      <c r="K22" s="213"/>
      <c r="L22" s="29" t="s">
        <v>14</v>
      </c>
      <c r="M22" s="214"/>
      <c r="N22" s="214"/>
      <c r="O22" s="214"/>
      <c r="P22" s="214"/>
      <c r="Q22" s="214"/>
      <c r="R22" s="215"/>
      <c r="S22" s="216"/>
      <c r="T22" s="217"/>
      <c r="U22" s="30"/>
    </row>
    <row r="23" spans="1:21" ht="19.5" customHeight="1" x14ac:dyDescent="0.25">
      <c r="A23" s="16"/>
      <c r="B23" s="306" t="s">
        <v>268</v>
      </c>
      <c r="C23" s="307"/>
      <c r="D23" s="307"/>
      <c r="E23" s="307"/>
      <c r="F23" s="307"/>
      <c r="G23" s="307"/>
      <c r="H23" s="308"/>
      <c r="I23" s="211">
        <v>15</v>
      </c>
      <c r="J23" s="212"/>
      <c r="K23" s="213"/>
      <c r="L23" s="29" t="s">
        <v>14</v>
      </c>
      <c r="M23" s="203"/>
      <c r="N23" s="204"/>
      <c r="O23" s="204"/>
      <c r="P23" s="204"/>
      <c r="Q23" s="205"/>
      <c r="R23" s="203"/>
      <c r="S23" s="204"/>
      <c r="T23" s="205"/>
      <c r="U23" s="1"/>
    </row>
    <row r="24" spans="1:21" ht="19.5" customHeight="1" x14ac:dyDescent="0.25">
      <c r="A24" s="16"/>
      <c r="B24" s="306" t="s">
        <v>269</v>
      </c>
      <c r="C24" s="307"/>
      <c r="D24" s="307"/>
      <c r="E24" s="307"/>
      <c r="F24" s="307"/>
      <c r="G24" s="307"/>
      <c r="H24" s="308"/>
      <c r="I24" s="211">
        <v>15</v>
      </c>
      <c r="J24" s="212"/>
      <c r="K24" s="213"/>
      <c r="L24" s="29" t="s">
        <v>14</v>
      </c>
      <c r="M24" s="194"/>
      <c r="N24" s="194"/>
      <c r="O24" s="194"/>
      <c r="P24" s="194"/>
      <c r="Q24" s="194"/>
      <c r="R24" s="194"/>
      <c r="S24" s="194"/>
      <c r="T24" s="194"/>
      <c r="U24" s="1"/>
    </row>
    <row r="25" spans="1:21" ht="19.5" customHeight="1" x14ac:dyDescent="0.25">
      <c r="A25" s="16"/>
      <c r="B25" s="190" t="s">
        <v>51</v>
      </c>
      <c r="C25" s="190"/>
      <c r="D25" s="190"/>
      <c r="E25" s="190"/>
      <c r="F25" s="190"/>
      <c r="G25" s="190"/>
      <c r="H25" s="190"/>
      <c r="I25" s="191">
        <v>1</v>
      </c>
      <c r="J25" s="192"/>
      <c r="K25" s="193"/>
      <c r="L25" s="27" t="s">
        <v>14</v>
      </c>
      <c r="M25" s="194"/>
      <c r="N25" s="194"/>
      <c r="O25" s="194"/>
      <c r="P25" s="194"/>
      <c r="Q25" s="194"/>
      <c r="R25" s="194"/>
      <c r="S25" s="194"/>
      <c r="T25" s="194"/>
      <c r="U25" s="1"/>
    </row>
    <row r="26" spans="1:21" ht="19.5" customHeight="1" x14ac:dyDescent="0.25">
      <c r="A26" s="16"/>
      <c r="B26" s="190" t="s">
        <v>88</v>
      </c>
      <c r="C26" s="190"/>
      <c r="D26" s="190"/>
      <c r="E26" s="190"/>
      <c r="F26" s="190"/>
      <c r="G26" s="190"/>
      <c r="H26" s="190"/>
      <c r="I26" s="191">
        <v>1</v>
      </c>
      <c r="J26" s="192"/>
      <c r="K26" s="193"/>
      <c r="L26" s="27" t="s">
        <v>14</v>
      </c>
      <c r="M26" s="194"/>
      <c r="N26" s="194"/>
      <c r="O26" s="194"/>
      <c r="P26" s="194"/>
      <c r="Q26" s="194"/>
      <c r="R26" s="194"/>
      <c r="S26" s="194"/>
      <c r="T26" s="194"/>
      <c r="U26" s="1"/>
    </row>
    <row r="27" spans="1:21" ht="24.75" customHeight="1" x14ac:dyDescent="0.25">
      <c r="A27" s="16"/>
      <c r="B27" s="190" t="s">
        <v>127</v>
      </c>
      <c r="C27" s="190"/>
      <c r="D27" s="190"/>
      <c r="E27" s="190"/>
      <c r="F27" s="190"/>
      <c r="G27" s="190"/>
      <c r="H27" s="190"/>
      <c r="I27" s="191">
        <v>20</v>
      </c>
      <c r="J27" s="192"/>
      <c r="K27" s="193"/>
      <c r="L27" s="27" t="s">
        <v>14</v>
      </c>
      <c r="M27" s="194"/>
      <c r="N27" s="194"/>
      <c r="O27" s="194"/>
      <c r="P27" s="194"/>
      <c r="Q27" s="194"/>
      <c r="R27" s="194"/>
      <c r="S27" s="194"/>
      <c r="T27" s="194"/>
      <c r="U27" s="1"/>
    </row>
    <row r="28" spans="1:21" ht="18.75" customHeight="1" x14ac:dyDescent="0.25">
      <c r="A28" s="16"/>
      <c r="B28" s="190" t="s">
        <v>130</v>
      </c>
      <c r="C28" s="190"/>
      <c r="D28" s="190"/>
      <c r="E28" s="190"/>
      <c r="F28" s="190"/>
      <c r="G28" s="190"/>
      <c r="H28" s="190"/>
      <c r="I28" s="191">
        <v>10</v>
      </c>
      <c r="J28" s="192"/>
      <c r="K28" s="193"/>
      <c r="L28" s="27" t="s">
        <v>14</v>
      </c>
      <c r="M28" s="194"/>
      <c r="N28" s="194"/>
      <c r="O28" s="194"/>
      <c r="P28" s="194"/>
      <c r="Q28" s="194"/>
      <c r="R28" s="194"/>
      <c r="S28" s="194"/>
      <c r="T28" s="194"/>
      <c r="U28" s="1"/>
    </row>
    <row r="29" spans="1:21" ht="19.5" customHeight="1" x14ac:dyDescent="0.25">
      <c r="A29" s="16"/>
      <c r="B29" s="207" t="s">
        <v>338</v>
      </c>
      <c r="C29" s="208"/>
      <c r="D29" s="208"/>
      <c r="E29" s="208"/>
      <c r="F29" s="208"/>
      <c r="G29" s="208"/>
      <c r="H29" s="208"/>
      <c r="I29" s="209">
        <v>1</v>
      </c>
      <c r="J29" s="209"/>
      <c r="K29" s="209"/>
      <c r="L29" s="32" t="s">
        <v>14</v>
      </c>
      <c r="M29" s="194"/>
      <c r="N29" s="194"/>
      <c r="O29" s="194"/>
      <c r="P29" s="194"/>
      <c r="Q29" s="194"/>
      <c r="R29" s="194"/>
      <c r="S29" s="194"/>
      <c r="T29" s="194"/>
      <c r="U29" s="1"/>
    </row>
    <row r="30" spans="1:21" ht="19.5" customHeight="1" x14ac:dyDescent="0.25">
      <c r="A30" s="16"/>
      <c r="B30" s="190"/>
      <c r="C30" s="190"/>
      <c r="D30" s="190"/>
      <c r="E30" s="190"/>
      <c r="F30" s="190"/>
      <c r="G30" s="190"/>
      <c r="H30" s="190"/>
      <c r="I30" s="191"/>
      <c r="J30" s="192"/>
      <c r="K30" s="193"/>
      <c r="L30" s="32"/>
      <c r="M30" s="194"/>
      <c r="N30" s="194"/>
      <c r="O30" s="194"/>
      <c r="P30" s="194"/>
      <c r="Q30" s="194"/>
      <c r="R30" s="194"/>
      <c r="S30" s="194"/>
      <c r="T30" s="194"/>
      <c r="U30" s="1"/>
    </row>
    <row r="31" spans="1:21" ht="19.5" customHeight="1" x14ac:dyDescent="0.25">
      <c r="A31" s="16"/>
      <c r="B31" s="190"/>
      <c r="C31" s="190"/>
      <c r="D31" s="190"/>
      <c r="E31" s="190"/>
      <c r="F31" s="190"/>
      <c r="G31" s="190"/>
      <c r="H31" s="190"/>
      <c r="I31" s="191"/>
      <c r="J31" s="192"/>
      <c r="K31" s="193"/>
      <c r="L31" s="32"/>
      <c r="M31" s="194"/>
      <c r="N31" s="194"/>
      <c r="O31" s="194"/>
      <c r="P31" s="194"/>
      <c r="Q31" s="194"/>
      <c r="R31" s="194"/>
      <c r="S31" s="194"/>
      <c r="T31" s="194"/>
      <c r="U31" s="1"/>
    </row>
    <row r="32" spans="1:21" ht="19.5" customHeight="1" x14ac:dyDescent="0.25">
      <c r="A32" s="16"/>
      <c r="B32" s="190"/>
      <c r="C32" s="190"/>
      <c r="D32" s="190"/>
      <c r="E32" s="190"/>
      <c r="F32" s="190"/>
      <c r="G32" s="190"/>
      <c r="H32" s="190"/>
      <c r="I32" s="191"/>
      <c r="J32" s="192"/>
      <c r="K32" s="193"/>
      <c r="L32" s="32"/>
      <c r="M32" s="194"/>
      <c r="N32" s="194"/>
      <c r="O32" s="194"/>
      <c r="P32" s="194"/>
      <c r="Q32" s="194"/>
      <c r="R32" s="194"/>
      <c r="S32" s="194"/>
      <c r="T32" s="194"/>
      <c r="U32" s="1"/>
    </row>
    <row r="33" spans="1:21" ht="47.25" customHeight="1" x14ac:dyDescent="0.25">
      <c r="A33" s="16"/>
      <c r="B33" s="199"/>
      <c r="C33" s="200"/>
      <c r="D33" s="200"/>
      <c r="E33" s="201"/>
      <c r="F33" s="202" t="s">
        <v>17</v>
      </c>
      <c r="G33" s="202"/>
      <c r="H33" s="202"/>
      <c r="I33" s="202"/>
      <c r="J33" s="202"/>
      <c r="K33" s="202"/>
      <c r="L33" s="202"/>
      <c r="M33" s="202"/>
      <c r="N33" s="202"/>
      <c r="O33" s="202"/>
      <c r="P33" s="203"/>
      <c r="Q33" s="204"/>
      <c r="R33" s="204"/>
      <c r="S33" s="204"/>
      <c r="T33" s="205"/>
      <c r="U33" s="1"/>
    </row>
    <row r="34" spans="1:21" ht="13.5" customHeight="1" x14ac:dyDescent="0.25">
      <c r="A34" s="16"/>
      <c r="B34" s="199"/>
      <c r="C34" s="200"/>
      <c r="D34" s="200"/>
      <c r="E34" s="200"/>
      <c r="F34" s="200"/>
      <c r="G34" s="201"/>
      <c r="H34" s="206" t="s">
        <v>18</v>
      </c>
      <c r="I34" s="206"/>
      <c r="J34" s="206"/>
      <c r="K34" s="206"/>
      <c r="L34" s="206"/>
      <c r="M34" s="206"/>
      <c r="N34" s="206"/>
      <c r="O34" s="206"/>
      <c r="P34" s="203"/>
      <c r="Q34" s="204"/>
      <c r="R34" s="204"/>
      <c r="S34" s="204"/>
      <c r="T34" s="205"/>
      <c r="U34" s="1"/>
    </row>
    <row r="35" spans="1:21" ht="15" customHeight="1" x14ac:dyDescent="0.25">
      <c r="B35" s="195" t="s">
        <v>19</v>
      </c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6"/>
    </row>
    <row r="36" spans="1:21" x14ac:dyDescent="0.25">
      <c r="A36" s="17"/>
      <c r="B36" s="197"/>
      <c r="C36" s="197"/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8"/>
    </row>
    <row r="38" spans="1:21" x14ac:dyDescent="0.25">
      <c r="A38" t="s">
        <v>20</v>
      </c>
    </row>
  </sheetData>
  <mergeCells count="93">
    <mergeCell ref="B31:H31"/>
    <mergeCell ref="I31:K31"/>
    <mergeCell ref="M31:Q31"/>
    <mergeCell ref="R31:T31"/>
    <mergeCell ref="B32:H32"/>
    <mergeCell ref="I32:K32"/>
    <mergeCell ref="M32:Q32"/>
    <mergeCell ref="R32:T32"/>
    <mergeCell ref="B30:H30"/>
    <mergeCell ref="I30:K30"/>
    <mergeCell ref="M30:Q30"/>
    <mergeCell ref="R30:T30"/>
    <mergeCell ref="A5:C5"/>
    <mergeCell ref="D5:K5"/>
    <mergeCell ref="L5:P5"/>
    <mergeCell ref="Q5:U5"/>
    <mergeCell ref="A1:C3"/>
    <mergeCell ref="D1:U1"/>
    <mergeCell ref="D2:U2"/>
    <mergeCell ref="D3:U4"/>
    <mergeCell ref="A4:C4"/>
    <mergeCell ref="B13:I13"/>
    <mergeCell ref="K13:S13"/>
    <mergeCell ref="B7:I7"/>
    <mergeCell ref="B8:I8"/>
    <mergeCell ref="B9:I9"/>
    <mergeCell ref="K9:S9"/>
    <mergeCell ref="B10:I10"/>
    <mergeCell ref="K10:S10"/>
    <mergeCell ref="B11:F11"/>
    <mergeCell ref="G11:I11"/>
    <mergeCell ref="K11:S11"/>
    <mergeCell ref="B12:I12"/>
    <mergeCell ref="K12:S12"/>
    <mergeCell ref="B14:I14"/>
    <mergeCell ref="K14:S14"/>
    <mergeCell ref="B15:I15"/>
    <mergeCell ref="B16:I16"/>
    <mergeCell ref="B18:H18"/>
    <mergeCell ref="I18:K18"/>
    <mergeCell ref="M18:Q18"/>
    <mergeCell ref="R18:T18"/>
    <mergeCell ref="B19:H19"/>
    <mergeCell ref="I19:K19"/>
    <mergeCell ref="M19:Q19"/>
    <mergeCell ref="R19:T19"/>
    <mergeCell ref="B20:H20"/>
    <mergeCell ref="I20:K20"/>
    <mergeCell ref="M20:Q20"/>
    <mergeCell ref="R20:T20"/>
    <mergeCell ref="B21:H21"/>
    <mergeCell ref="I21:K21"/>
    <mergeCell ref="M21:Q21"/>
    <mergeCell ref="R21:T21"/>
    <mergeCell ref="B22:H22"/>
    <mergeCell ref="I22:K22"/>
    <mergeCell ref="M22:Q22"/>
    <mergeCell ref="R22:T22"/>
    <mergeCell ref="B23:H23"/>
    <mergeCell ref="I23:K23"/>
    <mergeCell ref="M23:Q23"/>
    <mergeCell ref="R23:T23"/>
    <mergeCell ref="B24:H24"/>
    <mergeCell ref="I24:K24"/>
    <mergeCell ref="M24:Q24"/>
    <mergeCell ref="R24:T24"/>
    <mergeCell ref="B25:H25"/>
    <mergeCell ref="I25:K25"/>
    <mergeCell ref="M25:Q25"/>
    <mergeCell ref="R25:T25"/>
    <mergeCell ref="B26:H26"/>
    <mergeCell ref="I26:K26"/>
    <mergeCell ref="M26:Q26"/>
    <mergeCell ref="R26:T26"/>
    <mergeCell ref="B27:H27"/>
    <mergeCell ref="I27:K27"/>
    <mergeCell ref="M27:Q27"/>
    <mergeCell ref="R27:T27"/>
    <mergeCell ref="B28:H28"/>
    <mergeCell ref="I28:K28"/>
    <mergeCell ref="M28:Q28"/>
    <mergeCell ref="R28:T28"/>
    <mergeCell ref="B29:H29"/>
    <mergeCell ref="I29:K29"/>
    <mergeCell ref="M29:Q29"/>
    <mergeCell ref="R29:T29"/>
    <mergeCell ref="B35:U36"/>
    <mergeCell ref="B33:E33"/>
    <mergeCell ref="F33:O33"/>
    <mergeCell ref="P33:T33"/>
    <mergeCell ref="B34:G34"/>
    <mergeCell ref="H34:O34"/>
    <mergeCell ref="P34:T3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6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9F2CA-FF23-427B-8C4F-81CDED4051A6}">
  <sheetPr>
    <tabColor theme="0"/>
    <pageSetUpPr fitToPage="1"/>
  </sheetPr>
  <dimension ref="A1:U31"/>
  <sheetViews>
    <sheetView tabSelected="1" view="pageBreakPreview" zoomScale="90" zoomScaleNormal="100" zoomScaleSheetLayoutView="90" workbookViewId="0">
      <selection activeCell="I21" sqref="I21:K21"/>
    </sheetView>
  </sheetViews>
  <sheetFormatPr baseColWidth="10" defaultColWidth="10.7109375" defaultRowHeight="15" x14ac:dyDescent="0.25"/>
  <cols>
    <col min="1" max="1" width="2" customWidth="1"/>
    <col min="2" max="2" width="6.28515625" customWidth="1"/>
    <col min="3" max="3" width="5.7109375" customWidth="1"/>
    <col min="4" max="4" width="11.85546875" customWidth="1"/>
    <col min="5" max="5" width="3.5703125" customWidth="1"/>
    <col min="6" max="6" width="2.85546875" customWidth="1"/>
    <col min="7" max="7" width="3.28515625" customWidth="1"/>
    <col min="8" max="8" width="25.7109375" customWidth="1"/>
    <col min="9" max="9" width="5.85546875" style="20" customWidth="1"/>
    <col min="10" max="10" width="4.85546875" style="20" customWidth="1"/>
    <col min="11" max="11" width="2.5703125" style="20" customWidth="1"/>
    <col min="12" max="12" width="14" style="19" customWidth="1"/>
    <col min="13" max="13" width="1.85546875" customWidth="1"/>
    <col min="14" max="14" width="2.28515625" customWidth="1"/>
    <col min="15" max="15" width="1.85546875" customWidth="1"/>
    <col min="16" max="16" width="2.7109375" customWidth="1"/>
    <col min="17" max="18" width="3.85546875" customWidth="1"/>
    <col min="19" max="19" width="4" customWidth="1"/>
    <col min="20" max="20" width="3.28515625" customWidth="1"/>
    <col min="21" max="21" width="1.7109375" customWidth="1"/>
  </cols>
  <sheetData>
    <row r="1" spans="1:21" x14ac:dyDescent="0.25">
      <c r="A1" s="263"/>
      <c r="B1" s="263"/>
      <c r="C1" s="263"/>
      <c r="D1" s="264" t="s">
        <v>0</v>
      </c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</row>
    <row r="2" spans="1:21" x14ac:dyDescent="0.25">
      <c r="A2" s="263"/>
      <c r="B2" s="263"/>
      <c r="C2" s="263"/>
      <c r="D2" s="264" t="s">
        <v>1</v>
      </c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</row>
    <row r="3" spans="1:21" x14ac:dyDescent="0.25">
      <c r="A3" s="263"/>
      <c r="B3" s="263"/>
      <c r="C3" s="263"/>
      <c r="D3" s="264" t="s">
        <v>2</v>
      </c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4"/>
    </row>
    <row r="4" spans="1:21" x14ac:dyDescent="0.25">
      <c r="A4" s="265" t="s">
        <v>3</v>
      </c>
      <c r="B4" s="265"/>
      <c r="C4" s="265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4"/>
    </row>
    <row r="5" spans="1:21" ht="21" customHeight="1" x14ac:dyDescent="0.25">
      <c r="A5" s="242"/>
      <c r="B5" s="243"/>
      <c r="C5" s="244"/>
      <c r="D5" s="245" t="s">
        <v>4</v>
      </c>
      <c r="E5" s="246"/>
      <c r="F5" s="246"/>
      <c r="G5" s="246"/>
      <c r="H5" s="246"/>
      <c r="I5" s="246"/>
      <c r="J5" s="246"/>
      <c r="K5" s="246"/>
      <c r="L5" s="247" t="s">
        <v>5</v>
      </c>
      <c r="M5" s="247"/>
      <c r="N5" s="247"/>
      <c r="O5" s="247"/>
      <c r="P5" s="247"/>
      <c r="Q5" s="248" t="s">
        <v>21</v>
      </c>
      <c r="R5" s="248"/>
      <c r="S5" s="248"/>
      <c r="T5" s="248"/>
      <c r="U5" s="249"/>
    </row>
    <row r="6" spans="1:21" x14ac:dyDescent="0.25">
      <c r="A6" s="14"/>
      <c r="B6" s="15"/>
      <c r="C6" s="15"/>
      <c r="U6" s="1"/>
    </row>
    <row r="7" spans="1:21" x14ac:dyDescent="0.25">
      <c r="A7" s="16"/>
      <c r="B7" s="250" t="s">
        <v>6</v>
      </c>
      <c r="C7" s="251"/>
      <c r="D7" s="251"/>
      <c r="E7" s="251"/>
      <c r="F7" s="251"/>
      <c r="G7" s="251"/>
      <c r="H7" s="251"/>
      <c r="I7" s="252"/>
      <c r="J7" s="22"/>
      <c r="K7" s="22"/>
      <c r="U7" s="1"/>
    </row>
    <row r="8" spans="1:21" x14ac:dyDescent="0.25">
      <c r="A8" s="16"/>
      <c r="B8" s="253" t="s">
        <v>7</v>
      </c>
      <c r="C8" s="253"/>
      <c r="D8" s="253"/>
      <c r="E8" s="253"/>
      <c r="F8" s="253"/>
      <c r="G8" s="253"/>
      <c r="H8" s="253"/>
      <c r="I8" s="253"/>
      <c r="J8" s="23"/>
      <c r="K8" s="23"/>
      <c r="L8" s="25"/>
      <c r="M8" s="3"/>
      <c r="N8" s="3"/>
      <c r="O8" s="3"/>
      <c r="P8" s="3"/>
      <c r="Q8" s="3"/>
      <c r="R8" s="3"/>
      <c r="S8" s="3"/>
      <c r="T8" s="3"/>
      <c r="U8" s="4"/>
    </row>
    <row r="9" spans="1:21" x14ac:dyDescent="0.25">
      <c r="A9" s="16"/>
      <c r="B9" s="253" t="s">
        <v>8</v>
      </c>
      <c r="C9" s="253"/>
      <c r="D9" s="253"/>
      <c r="E9" s="253"/>
      <c r="F9" s="253"/>
      <c r="G9" s="253"/>
      <c r="H9" s="253"/>
      <c r="I9" s="253"/>
      <c r="J9" s="23"/>
      <c r="K9" s="254" t="s">
        <v>9</v>
      </c>
      <c r="L9" s="254"/>
      <c r="M9" s="254"/>
      <c r="N9" s="254"/>
      <c r="O9" s="254"/>
      <c r="P9" s="254"/>
      <c r="Q9" s="254"/>
      <c r="R9" s="254"/>
      <c r="S9" s="254"/>
      <c r="T9" s="3"/>
      <c r="U9" s="4"/>
    </row>
    <row r="10" spans="1:21" x14ac:dyDescent="0.25">
      <c r="A10" s="16"/>
      <c r="B10" s="253" t="s">
        <v>10</v>
      </c>
      <c r="C10" s="253"/>
      <c r="D10" s="253"/>
      <c r="E10" s="253"/>
      <c r="F10" s="253"/>
      <c r="G10" s="253"/>
      <c r="H10" s="253"/>
      <c r="I10" s="253"/>
      <c r="J10" s="22"/>
      <c r="K10" s="255" t="s">
        <v>11</v>
      </c>
      <c r="L10" s="255"/>
      <c r="M10" s="255"/>
      <c r="N10" s="255"/>
      <c r="O10" s="255"/>
      <c r="P10" s="255"/>
      <c r="Q10" s="255"/>
      <c r="R10" s="255"/>
      <c r="S10" s="255"/>
      <c r="T10" s="2"/>
      <c r="U10" s="1"/>
    </row>
    <row r="11" spans="1:21" ht="35.25" customHeight="1" x14ac:dyDescent="0.25">
      <c r="A11" s="5"/>
      <c r="B11" s="256" t="s">
        <v>170</v>
      </c>
      <c r="C11" s="257"/>
      <c r="D11" s="257"/>
      <c r="E11" s="257"/>
      <c r="F11" s="258"/>
      <c r="G11" s="259">
        <v>46087</v>
      </c>
      <c r="H11" s="237"/>
      <c r="I11" s="238"/>
      <c r="J11" s="23"/>
      <c r="K11" s="260" t="s">
        <v>28</v>
      </c>
      <c r="L11" s="261"/>
      <c r="M11" s="261"/>
      <c r="N11" s="261"/>
      <c r="O11" s="261"/>
      <c r="P11" s="261"/>
      <c r="Q11" s="261"/>
      <c r="R11" s="261"/>
      <c r="S11" s="262"/>
      <c r="T11" s="12"/>
      <c r="U11" s="6"/>
    </row>
    <row r="12" spans="1:21" ht="15" customHeight="1" x14ac:dyDescent="0.25">
      <c r="A12" s="5"/>
      <c r="B12" s="239" t="s">
        <v>22</v>
      </c>
      <c r="C12" s="240"/>
      <c r="D12" s="240"/>
      <c r="E12" s="240"/>
      <c r="F12" s="240"/>
      <c r="G12" s="240"/>
      <c r="H12" s="240"/>
      <c r="I12" s="241"/>
      <c r="J12" s="23"/>
      <c r="K12" s="225" t="s">
        <v>25</v>
      </c>
      <c r="L12" s="226"/>
      <c r="M12" s="226"/>
      <c r="N12" s="226"/>
      <c r="O12" s="226"/>
      <c r="P12" s="226"/>
      <c r="Q12" s="226"/>
      <c r="R12" s="226"/>
      <c r="S12" s="227"/>
      <c r="T12" s="12"/>
      <c r="U12" s="6"/>
    </row>
    <row r="13" spans="1:21" x14ac:dyDescent="0.25">
      <c r="A13" s="5"/>
      <c r="B13" s="236" t="s">
        <v>27</v>
      </c>
      <c r="C13" s="237"/>
      <c r="D13" s="237"/>
      <c r="E13" s="237"/>
      <c r="F13" s="237"/>
      <c r="G13" s="237"/>
      <c r="H13" s="237"/>
      <c r="I13" s="238"/>
      <c r="J13" s="24"/>
      <c r="K13" s="225" t="s">
        <v>324</v>
      </c>
      <c r="L13" s="226"/>
      <c r="M13" s="226"/>
      <c r="N13" s="226"/>
      <c r="O13" s="226"/>
      <c r="P13" s="226"/>
      <c r="Q13" s="226"/>
      <c r="R13" s="226"/>
      <c r="S13" s="227"/>
      <c r="T13" s="3"/>
      <c r="U13" s="4"/>
    </row>
    <row r="14" spans="1:21" ht="30" customHeight="1" x14ac:dyDescent="0.25">
      <c r="A14" s="5"/>
      <c r="B14" s="222" t="s">
        <v>26</v>
      </c>
      <c r="C14" s="223"/>
      <c r="D14" s="223"/>
      <c r="E14" s="223"/>
      <c r="F14" s="223"/>
      <c r="G14" s="223"/>
      <c r="H14" s="223"/>
      <c r="I14" s="224"/>
      <c r="J14" s="21"/>
      <c r="K14" s="225" t="s">
        <v>173</v>
      </c>
      <c r="L14" s="226"/>
      <c r="M14" s="226"/>
      <c r="N14" s="226"/>
      <c r="O14" s="226"/>
      <c r="P14" s="226"/>
      <c r="Q14" s="226"/>
      <c r="R14" s="226"/>
      <c r="S14" s="227"/>
      <c r="T14" s="7"/>
      <c r="U14" s="8"/>
    </row>
    <row r="15" spans="1:21" ht="15" customHeight="1" x14ac:dyDescent="0.25">
      <c r="A15" s="5"/>
      <c r="B15" s="228" t="s">
        <v>23</v>
      </c>
      <c r="C15" s="229"/>
      <c r="D15" s="229"/>
      <c r="E15" s="229"/>
      <c r="F15" s="229"/>
      <c r="G15" s="229"/>
      <c r="H15" s="229"/>
      <c r="I15" s="230"/>
      <c r="J15" s="21"/>
      <c r="K15" s="23"/>
      <c r="L15" s="25"/>
      <c r="M15" s="13"/>
      <c r="N15" s="13"/>
      <c r="O15" s="13"/>
      <c r="P15" s="13"/>
      <c r="Q15" s="13"/>
      <c r="R15" s="13"/>
      <c r="S15" s="13"/>
      <c r="T15" s="7"/>
      <c r="U15" s="8"/>
    </row>
    <row r="16" spans="1:21" x14ac:dyDescent="0.25">
      <c r="A16" s="9"/>
      <c r="B16" s="231" t="s">
        <v>24</v>
      </c>
      <c r="C16" s="232"/>
      <c r="D16" s="232"/>
      <c r="E16" s="232"/>
      <c r="F16" s="232"/>
      <c r="G16" s="232"/>
      <c r="H16" s="232"/>
      <c r="I16" s="233"/>
      <c r="J16" s="22"/>
      <c r="K16" s="22"/>
      <c r="L16" s="26"/>
      <c r="M16" s="2"/>
      <c r="N16" s="10"/>
      <c r="O16" s="10"/>
      <c r="P16" s="10"/>
      <c r="Q16" s="10"/>
      <c r="R16" s="10"/>
      <c r="S16" s="10"/>
      <c r="T16" s="2"/>
      <c r="U16" s="1"/>
    </row>
    <row r="17" spans="1:21" x14ac:dyDescent="0.25">
      <c r="A17" s="16"/>
      <c r="B17" s="11"/>
      <c r="C17" s="11"/>
      <c r="D17" s="11"/>
      <c r="E17" s="11"/>
      <c r="F17" s="11"/>
      <c r="G17" s="7"/>
      <c r="H17" s="7"/>
      <c r="I17" s="21"/>
      <c r="J17" s="22"/>
      <c r="K17" s="22"/>
      <c r="L17" s="26"/>
      <c r="M17" s="2"/>
      <c r="N17" s="10"/>
      <c r="O17" s="10"/>
      <c r="P17" s="10"/>
      <c r="Q17" s="10"/>
      <c r="R17" s="10"/>
      <c r="S17" s="10"/>
      <c r="T17" s="2"/>
      <c r="U17" s="1"/>
    </row>
    <row r="18" spans="1:21" x14ac:dyDescent="0.25">
      <c r="A18" s="16"/>
      <c r="B18" s="234" t="s">
        <v>12</v>
      </c>
      <c r="C18" s="234"/>
      <c r="D18" s="234"/>
      <c r="E18" s="234"/>
      <c r="F18" s="234"/>
      <c r="G18" s="234"/>
      <c r="H18" s="234"/>
      <c r="I18" s="235" t="s">
        <v>13</v>
      </c>
      <c r="J18" s="235"/>
      <c r="K18" s="235"/>
      <c r="L18" s="18" t="s">
        <v>14</v>
      </c>
      <c r="M18" s="194" t="s">
        <v>15</v>
      </c>
      <c r="N18" s="194"/>
      <c r="O18" s="194"/>
      <c r="P18" s="194"/>
      <c r="Q18" s="194"/>
      <c r="R18" s="194" t="s">
        <v>16</v>
      </c>
      <c r="S18" s="194"/>
      <c r="T18" s="194"/>
      <c r="U18" s="1"/>
    </row>
    <row r="19" spans="1:21" ht="19.5" customHeight="1" x14ac:dyDescent="0.25">
      <c r="A19" s="16"/>
      <c r="B19" s="190" t="s">
        <v>333</v>
      </c>
      <c r="C19" s="190"/>
      <c r="D19" s="190"/>
      <c r="E19" s="190"/>
      <c r="F19" s="190"/>
      <c r="G19" s="190"/>
      <c r="H19" s="190"/>
      <c r="I19" s="191">
        <v>2</v>
      </c>
      <c r="J19" s="192"/>
      <c r="K19" s="193"/>
      <c r="L19" s="32" t="s">
        <v>14</v>
      </c>
      <c r="M19" s="194"/>
      <c r="N19" s="194"/>
      <c r="O19" s="194"/>
      <c r="P19" s="194"/>
      <c r="Q19" s="194"/>
      <c r="R19" s="194" t="s">
        <v>138</v>
      </c>
      <c r="S19" s="194"/>
      <c r="T19" s="194"/>
      <c r="U19" s="1"/>
    </row>
    <row r="20" spans="1:21" ht="19.5" customHeight="1" x14ac:dyDescent="0.25">
      <c r="A20" s="16"/>
      <c r="B20" s="318" t="s">
        <v>343</v>
      </c>
      <c r="C20" s="319"/>
      <c r="D20" s="319"/>
      <c r="E20" s="319"/>
      <c r="F20" s="319"/>
      <c r="G20" s="319"/>
      <c r="H20" s="320"/>
      <c r="I20" s="321">
        <v>6</v>
      </c>
      <c r="J20" s="322"/>
      <c r="K20" s="323"/>
      <c r="L20" s="32" t="s">
        <v>14</v>
      </c>
      <c r="M20" s="194"/>
      <c r="N20" s="194"/>
      <c r="O20" s="194"/>
      <c r="P20" s="194"/>
      <c r="Q20" s="194"/>
      <c r="R20" s="194" t="s">
        <v>138</v>
      </c>
      <c r="S20" s="194"/>
      <c r="T20" s="194"/>
      <c r="U20" s="1"/>
    </row>
    <row r="21" spans="1:21" ht="28.5" customHeight="1" x14ac:dyDescent="0.25">
      <c r="A21" s="16"/>
      <c r="B21" s="318" t="s">
        <v>332</v>
      </c>
      <c r="C21" s="319"/>
      <c r="D21" s="319"/>
      <c r="E21" s="319"/>
      <c r="F21" s="319"/>
      <c r="G21" s="319"/>
      <c r="H21" s="320"/>
      <c r="I21" s="321">
        <v>1</v>
      </c>
      <c r="J21" s="322"/>
      <c r="K21" s="323"/>
      <c r="L21" s="32" t="s">
        <v>14</v>
      </c>
      <c r="M21" s="194"/>
      <c r="N21" s="194"/>
      <c r="O21" s="194"/>
      <c r="P21" s="194"/>
      <c r="Q21" s="194"/>
      <c r="R21" s="194" t="s">
        <v>138</v>
      </c>
      <c r="S21" s="194"/>
      <c r="T21" s="194"/>
      <c r="U21" s="1"/>
    </row>
    <row r="22" spans="1:21" ht="18.75" customHeight="1" x14ac:dyDescent="0.25">
      <c r="A22" s="16"/>
      <c r="B22" s="318" t="s">
        <v>344</v>
      </c>
      <c r="C22" s="319"/>
      <c r="D22" s="319"/>
      <c r="E22" s="319"/>
      <c r="F22" s="319"/>
      <c r="G22" s="319"/>
      <c r="H22" s="320"/>
      <c r="I22" s="321">
        <v>2</v>
      </c>
      <c r="J22" s="322"/>
      <c r="K22" s="323"/>
      <c r="L22" s="32" t="s">
        <v>14</v>
      </c>
      <c r="M22" s="194"/>
      <c r="N22" s="194"/>
      <c r="O22" s="194"/>
      <c r="P22" s="194"/>
      <c r="Q22" s="194"/>
      <c r="R22" s="194" t="s">
        <v>138</v>
      </c>
      <c r="S22" s="194"/>
      <c r="T22" s="194"/>
      <c r="U22" s="1"/>
    </row>
    <row r="23" spans="1:21" ht="19.5" customHeight="1" x14ac:dyDescent="0.25">
      <c r="A23" s="16"/>
      <c r="B23" s="318" t="s">
        <v>333</v>
      </c>
      <c r="C23" s="319"/>
      <c r="D23" s="319"/>
      <c r="E23" s="319"/>
      <c r="F23" s="319"/>
      <c r="G23" s="319"/>
      <c r="H23" s="320"/>
      <c r="I23" s="321">
        <v>2</v>
      </c>
      <c r="J23" s="322"/>
      <c r="K23" s="324"/>
      <c r="L23" s="32" t="s">
        <v>14</v>
      </c>
      <c r="M23" s="194"/>
      <c r="N23" s="194"/>
      <c r="O23" s="194"/>
      <c r="P23" s="194"/>
      <c r="Q23" s="194"/>
      <c r="R23" s="194" t="s">
        <v>138</v>
      </c>
      <c r="S23" s="194"/>
      <c r="T23" s="194"/>
      <c r="U23" s="1"/>
    </row>
    <row r="24" spans="1:21" ht="19.5" customHeight="1" x14ac:dyDescent="0.25">
      <c r="A24" s="16"/>
      <c r="B24" s="207" t="s">
        <v>336</v>
      </c>
      <c r="C24" s="208"/>
      <c r="D24" s="208"/>
      <c r="E24" s="208"/>
      <c r="F24" s="208"/>
      <c r="G24" s="208"/>
      <c r="H24" s="208"/>
      <c r="I24" s="202">
        <v>1</v>
      </c>
      <c r="J24" s="202"/>
      <c r="K24" s="202"/>
      <c r="L24" s="32" t="s">
        <v>14</v>
      </c>
      <c r="M24" s="194"/>
      <c r="N24" s="194"/>
      <c r="O24" s="194"/>
      <c r="P24" s="194"/>
      <c r="Q24" s="194"/>
      <c r="R24" s="194" t="s">
        <v>154</v>
      </c>
      <c r="S24" s="194"/>
      <c r="T24" s="194"/>
      <c r="U24" s="1"/>
    </row>
    <row r="25" spans="1:21" ht="19.5" customHeight="1" x14ac:dyDescent="0.25">
      <c r="A25" s="16"/>
      <c r="B25" s="190"/>
      <c r="C25" s="190"/>
      <c r="D25" s="190"/>
      <c r="E25" s="190"/>
      <c r="F25" s="190"/>
      <c r="G25" s="190"/>
      <c r="H25" s="190"/>
      <c r="I25" s="191"/>
      <c r="J25" s="192"/>
      <c r="K25" s="193"/>
      <c r="L25" s="27"/>
      <c r="M25" s="194"/>
      <c r="N25" s="194"/>
      <c r="O25" s="194"/>
      <c r="P25" s="194"/>
      <c r="Q25" s="194"/>
      <c r="R25" s="194"/>
      <c r="S25" s="194"/>
      <c r="T25" s="194"/>
      <c r="U25" s="1"/>
    </row>
    <row r="26" spans="1:21" ht="47.25" customHeight="1" x14ac:dyDescent="0.25">
      <c r="A26" s="16"/>
      <c r="B26" s="199"/>
      <c r="C26" s="200"/>
      <c r="D26" s="200"/>
      <c r="E26" s="201"/>
      <c r="F26" s="202" t="s">
        <v>17</v>
      </c>
      <c r="G26" s="202"/>
      <c r="H26" s="202"/>
      <c r="I26" s="202"/>
      <c r="J26" s="202"/>
      <c r="K26" s="202"/>
      <c r="L26" s="202"/>
      <c r="M26" s="202"/>
      <c r="N26" s="202"/>
      <c r="O26" s="202"/>
      <c r="P26" s="203"/>
      <c r="Q26" s="204"/>
      <c r="R26" s="204"/>
      <c r="S26" s="204"/>
      <c r="T26" s="205"/>
      <c r="U26" s="1"/>
    </row>
    <row r="27" spans="1:21" ht="13.5" customHeight="1" x14ac:dyDescent="0.25">
      <c r="A27" s="16"/>
      <c r="B27" s="199"/>
      <c r="C27" s="200"/>
      <c r="D27" s="200"/>
      <c r="E27" s="200"/>
      <c r="F27" s="200"/>
      <c r="G27" s="201"/>
      <c r="H27" s="206" t="s">
        <v>18</v>
      </c>
      <c r="I27" s="206"/>
      <c r="J27" s="206"/>
      <c r="K27" s="206"/>
      <c r="L27" s="206"/>
      <c r="M27" s="206"/>
      <c r="N27" s="206"/>
      <c r="O27" s="206"/>
      <c r="P27" s="203"/>
      <c r="Q27" s="204"/>
      <c r="R27" s="204"/>
      <c r="S27" s="204"/>
      <c r="T27" s="205"/>
      <c r="U27" s="1"/>
    </row>
    <row r="28" spans="1:21" ht="15" customHeight="1" x14ac:dyDescent="0.25">
      <c r="B28" s="195" t="s">
        <v>19</v>
      </c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6"/>
    </row>
    <row r="29" spans="1:21" x14ac:dyDescent="0.25">
      <c r="A29" s="17"/>
      <c r="B29" s="197"/>
      <c r="C29" s="197"/>
      <c r="D29" s="197"/>
      <c r="E29" s="197"/>
      <c r="F29" s="197"/>
      <c r="G29" s="197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8"/>
    </row>
    <row r="31" spans="1:21" x14ac:dyDescent="0.25">
      <c r="A31" t="s">
        <v>20</v>
      </c>
    </row>
  </sheetData>
  <protectedRanges>
    <protectedRange algorithmName="SHA-512" hashValue="EleUkE5tVEWAl1uOcTeQVXpJTycVx2iIl/2RlTPkTRmDIrar8rl9UEqC5maf7+x7VQaoHW8FVwh+dxaxrDnddQ==" saltValue="xAGf3LtmYPiHGO3vhWKRzA==" spinCount="100000" sqref="B20:H23" name="Rango4"/>
    <protectedRange algorithmName="SHA-512" hashValue="EleUkE5tVEWAl1uOcTeQVXpJTycVx2iIl/2RlTPkTRmDIrar8rl9UEqC5maf7+x7VQaoHW8FVwh+dxaxrDnddQ==" saltValue="xAGf3LtmYPiHGO3vhWKRzA==" spinCount="100000" sqref="I20:K23" name="Rango4_2"/>
  </protectedRanges>
  <mergeCells count="65">
    <mergeCell ref="B25:H25"/>
    <mergeCell ref="I25:K25"/>
    <mergeCell ref="M25:Q25"/>
    <mergeCell ref="R25:T25"/>
    <mergeCell ref="B28:U29"/>
    <mergeCell ref="B26:E26"/>
    <mergeCell ref="F26:O26"/>
    <mergeCell ref="P26:T26"/>
    <mergeCell ref="B27:G27"/>
    <mergeCell ref="H27:O27"/>
    <mergeCell ref="P27:T27"/>
    <mergeCell ref="B23:H23"/>
    <mergeCell ref="I23:K23"/>
    <mergeCell ref="M23:Q23"/>
    <mergeCell ref="R23:T23"/>
    <mergeCell ref="B24:H24"/>
    <mergeCell ref="I24:K24"/>
    <mergeCell ref="M24:Q24"/>
    <mergeCell ref="R24:T24"/>
    <mergeCell ref="B21:H21"/>
    <mergeCell ref="I21:K21"/>
    <mergeCell ref="M21:Q21"/>
    <mergeCell ref="R21:T21"/>
    <mergeCell ref="B22:H22"/>
    <mergeCell ref="I22:K22"/>
    <mergeCell ref="M22:Q22"/>
    <mergeCell ref="R22:T22"/>
    <mergeCell ref="B19:H19"/>
    <mergeCell ref="I19:K19"/>
    <mergeCell ref="M19:Q19"/>
    <mergeCell ref="R19:T19"/>
    <mergeCell ref="B20:H20"/>
    <mergeCell ref="I20:K20"/>
    <mergeCell ref="M20:Q20"/>
    <mergeCell ref="R20:T20"/>
    <mergeCell ref="B14:I14"/>
    <mergeCell ref="K14:S14"/>
    <mergeCell ref="B15:I15"/>
    <mergeCell ref="B16:I16"/>
    <mergeCell ref="B18:H18"/>
    <mergeCell ref="I18:K18"/>
    <mergeCell ref="M18:Q18"/>
    <mergeCell ref="R18:T18"/>
    <mergeCell ref="B13:I13"/>
    <mergeCell ref="K13:S13"/>
    <mergeCell ref="B7:I7"/>
    <mergeCell ref="B8:I8"/>
    <mergeCell ref="B9:I9"/>
    <mergeCell ref="K9:S9"/>
    <mergeCell ref="B10:I10"/>
    <mergeCell ref="K10:S10"/>
    <mergeCell ref="B11:F11"/>
    <mergeCell ref="G11:I11"/>
    <mergeCell ref="K11:S11"/>
    <mergeCell ref="B12:I12"/>
    <mergeCell ref="K12:S12"/>
    <mergeCell ref="A5:C5"/>
    <mergeCell ref="D5:K5"/>
    <mergeCell ref="L5:P5"/>
    <mergeCell ref="Q5:U5"/>
    <mergeCell ref="A1:C3"/>
    <mergeCell ref="D1:U1"/>
    <mergeCell ref="D2:U2"/>
    <mergeCell ref="D3:U4"/>
    <mergeCell ref="A4:C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6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5B016-2BC2-40AE-B97F-52C65B555526}">
  <sheetPr>
    <tabColor theme="0"/>
    <pageSetUpPr fitToPage="1"/>
  </sheetPr>
  <dimension ref="A1:U34"/>
  <sheetViews>
    <sheetView view="pageBreakPreview" topLeftCell="A11" zoomScale="90" zoomScaleNormal="100" zoomScaleSheetLayoutView="90" workbookViewId="0">
      <selection activeCell="K14" sqref="K14:S14"/>
    </sheetView>
  </sheetViews>
  <sheetFormatPr baseColWidth="10" defaultColWidth="10.7109375" defaultRowHeight="15" x14ac:dyDescent="0.25"/>
  <cols>
    <col min="1" max="1" width="2" customWidth="1"/>
    <col min="2" max="2" width="6.28515625" customWidth="1"/>
    <col min="3" max="3" width="5.7109375" customWidth="1"/>
    <col min="4" max="4" width="11.85546875" customWidth="1"/>
    <col min="5" max="5" width="3.5703125" customWidth="1"/>
    <col min="6" max="6" width="2.85546875" customWidth="1"/>
    <col min="7" max="7" width="3.28515625" customWidth="1"/>
    <col min="8" max="8" width="25.7109375" customWidth="1"/>
    <col min="9" max="9" width="5.85546875" style="20" customWidth="1"/>
    <col min="10" max="10" width="4.85546875" style="20" customWidth="1"/>
    <col min="11" max="11" width="2.5703125" style="20" customWidth="1"/>
    <col min="12" max="12" width="14" style="19" customWidth="1"/>
    <col min="13" max="13" width="1.85546875" customWidth="1"/>
    <col min="14" max="14" width="2.28515625" customWidth="1"/>
    <col min="15" max="15" width="1.85546875" customWidth="1"/>
    <col min="16" max="16" width="2.7109375" customWidth="1"/>
    <col min="17" max="18" width="3.85546875" customWidth="1"/>
    <col min="19" max="19" width="4" customWidth="1"/>
    <col min="20" max="20" width="3.28515625" customWidth="1"/>
    <col min="21" max="21" width="1.7109375" customWidth="1"/>
  </cols>
  <sheetData>
    <row r="1" spans="1:21" x14ac:dyDescent="0.25">
      <c r="A1" s="263"/>
      <c r="B1" s="263"/>
      <c r="C1" s="263"/>
      <c r="D1" s="264" t="s">
        <v>0</v>
      </c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</row>
    <row r="2" spans="1:21" x14ac:dyDescent="0.25">
      <c r="A2" s="263"/>
      <c r="B2" s="263"/>
      <c r="C2" s="263"/>
      <c r="D2" s="264" t="s">
        <v>1</v>
      </c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</row>
    <row r="3" spans="1:21" x14ac:dyDescent="0.25">
      <c r="A3" s="263"/>
      <c r="B3" s="263"/>
      <c r="C3" s="263"/>
      <c r="D3" s="264" t="s">
        <v>2</v>
      </c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4"/>
    </row>
    <row r="4" spans="1:21" x14ac:dyDescent="0.25">
      <c r="A4" s="265" t="s">
        <v>3</v>
      </c>
      <c r="B4" s="265"/>
      <c r="C4" s="265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4"/>
    </row>
    <row r="5" spans="1:21" ht="21" customHeight="1" x14ac:dyDescent="0.25">
      <c r="A5" s="242"/>
      <c r="B5" s="243"/>
      <c r="C5" s="244"/>
      <c r="D5" s="245" t="s">
        <v>4</v>
      </c>
      <c r="E5" s="246"/>
      <c r="F5" s="246"/>
      <c r="G5" s="246"/>
      <c r="H5" s="246"/>
      <c r="I5" s="246"/>
      <c r="J5" s="246"/>
      <c r="K5" s="246"/>
      <c r="L5" s="247" t="s">
        <v>5</v>
      </c>
      <c r="M5" s="247"/>
      <c r="N5" s="247"/>
      <c r="O5" s="247"/>
      <c r="P5" s="247"/>
      <c r="Q5" s="248" t="s">
        <v>21</v>
      </c>
      <c r="R5" s="248"/>
      <c r="S5" s="248"/>
      <c r="T5" s="248"/>
      <c r="U5" s="249"/>
    </row>
    <row r="6" spans="1:21" x14ac:dyDescent="0.25">
      <c r="A6" s="14"/>
      <c r="B6" s="15"/>
      <c r="C6" s="15"/>
      <c r="U6" s="1"/>
    </row>
    <row r="7" spans="1:21" x14ac:dyDescent="0.25">
      <c r="A7" s="16"/>
      <c r="B7" s="250" t="s">
        <v>6</v>
      </c>
      <c r="C7" s="251"/>
      <c r="D7" s="251"/>
      <c r="E7" s="251"/>
      <c r="F7" s="251"/>
      <c r="G7" s="251"/>
      <c r="H7" s="251"/>
      <c r="I7" s="252"/>
      <c r="J7" s="22"/>
      <c r="K7" s="22"/>
      <c r="U7" s="1"/>
    </row>
    <row r="8" spans="1:21" x14ac:dyDescent="0.25">
      <c r="A8" s="16"/>
      <c r="B8" s="253" t="s">
        <v>7</v>
      </c>
      <c r="C8" s="253"/>
      <c r="D8" s="253"/>
      <c r="E8" s="253"/>
      <c r="F8" s="253"/>
      <c r="G8" s="253"/>
      <c r="H8" s="253"/>
      <c r="I8" s="253"/>
      <c r="J8" s="23"/>
      <c r="K8" s="23"/>
      <c r="L8" s="25"/>
      <c r="M8" s="3"/>
      <c r="N8" s="3"/>
      <c r="O8" s="3"/>
      <c r="P8" s="3"/>
      <c r="Q8" s="3"/>
      <c r="R8" s="3"/>
      <c r="S8" s="3"/>
      <c r="T8" s="3"/>
      <c r="U8" s="4"/>
    </row>
    <row r="9" spans="1:21" x14ac:dyDescent="0.25">
      <c r="A9" s="16"/>
      <c r="B9" s="253" t="s">
        <v>8</v>
      </c>
      <c r="C9" s="253"/>
      <c r="D9" s="253"/>
      <c r="E9" s="253"/>
      <c r="F9" s="253"/>
      <c r="G9" s="253"/>
      <c r="H9" s="253"/>
      <c r="I9" s="253"/>
      <c r="J9" s="23"/>
      <c r="K9" s="254" t="s">
        <v>9</v>
      </c>
      <c r="L9" s="254"/>
      <c r="M9" s="254"/>
      <c r="N9" s="254"/>
      <c r="O9" s="254"/>
      <c r="P9" s="254"/>
      <c r="Q9" s="254"/>
      <c r="R9" s="254"/>
      <c r="S9" s="254"/>
      <c r="T9" s="3"/>
      <c r="U9" s="4"/>
    </row>
    <row r="10" spans="1:21" x14ac:dyDescent="0.25">
      <c r="A10" s="16"/>
      <c r="B10" s="253" t="s">
        <v>10</v>
      </c>
      <c r="C10" s="253"/>
      <c r="D10" s="253"/>
      <c r="E10" s="253"/>
      <c r="F10" s="253"/>
      <c r="G10" s="253"/>
      <c r="H10" s="253"/>
      <c r="I10" s="253"/>
      <c r="J10" s="22"/>
      <c r="K10" s="255" t="s">
        <v>11</v>
      </c>
      <c r="L10" s="255"/>
      <c r="M10" s="255"/>
      <c r="N10" s="255"/>
      <c r="O10" s="255"/>
      <c r="P10" s="255"/>
      <c r="Q10" s="255"/>
      <c r="R10" s="255"/>
      <c r="S10" s="255"/>
      <c r="T10" s="2"/>
      <c r="U10" s="1"/>
    </row>
    <row r="11" spans="1:21" ht="35.25" customHeight="1" x14ac:dyDescent="0.25">
      <c r="A11" s="5"/>
      <c r="B11" s="256" t="s">
        <v>170</v>
      </c>
      <c r="C11" s="257"/>
      <c r="D11" s="257"/>
      <c r="E11" s="257"/>
      <c r="F11" s="258"/>
      <c r="G11" s="239" t="s">
        <v>247</v>
      </c>
      <c r="H11" s="237"/>
      <c r="I11" s="238"/>
      <c r="J11" s="23"/>
      <c r="K11" s="260" t="s">
        <v>28</v>
      </c>
      <c r="L11" s="261"/>
      <c r="M11" s="261"/>
      <c r="N11" s="261"/>
      <c r="O11" s="261"/>
      <c r="P11" s="261"/>
      <c r="Q11" s="261"/>
      <c r="R11" s="261"/>
      <c r="S11" s="262"/>
      <c r="T11" s="12"/>
      <c r="U11" s="6"/>
    </row>
    <row r="12" spans="1:21" ht="15" customHeight="1" x14ac:dyDescent="0.25">
      <c r="A12" s="5"/>
      <c r="B12" s="239" t="s">
        <v>22</v>
      </c>
      <c r="C12" s="240"/>
      <c r="D12" s="240"/>
      <c r="E12" s="240"/>
      <c r="F12" s="240"/>
      <c r="G12" s="240"/>
      <c r="H12" s="240"/>
      <c r="I12" s="241"/>
      <c r="J12" s="23"/>
      <c r="K12" s="225" t="s">
        <v>25</v>
      </c>
      <c r="L12" s="226"/>
      <c r="M12" s="226"/>
      <c r="N12" s="226"/>
      <c r="O12" s="226"/>
      <c r="P12" s="226"/>
      <c r="Q12" s="226"/>
      <c r="R12" s="226"/>
      <c r="S12" s="227"/>
      <c r="T12" s="12"/>
      <c r="U12" s="6"/>
    </row>
    <row r="13" spans="1:21" x14ac:dyDescent="0.25">
      <c r="A13" s="5"/>
      <c r="B13" s="236" t="s">
        <v>27</v>
      </c>
      <c r="C13" s="237"/>
      <c r="D13" s="237"/>
      <c r="E13" s="237"/>
      <c r="F13" s="237"/>
      <c r="G13" s="237"/>
      <c r="H13" s="237"/>
      <c r="I13" s="238"/>
      <c r="J13" s="24"/>
      <c r="K13" s="225" t="s">
        <v>249</v>
      </c>
      <c r="L13" s="226"/>
      <c r="M13" s="226"/>
      <c r="N13" s="226"/>
      <c r="O13" s="226"/>
      <c r="P13" s="226"/>
      <c r="Q13" s="226"/>
      <c r="R13" s="226"/>
      <c r="S13" s="227"/>
      <c r="T13" s="3"/>
      <c r="U13" s="4"/>
    </row>
    <row r="14" spans="1:21" ht="30" customHeight="1" x14ac:dyDescent="0.25">
      <c r="A14" s="5"/>
      <c r="B14" s="222" t="s">
        <v>26</v>
      </c>
      <c r="C14" s="223"/>
      <c r="D14" s="223"/>
      <c r="E14" s="223"/>
      <c r="F14" s="223"/>
      <c r="G14" s="223"/>
      <c r="H14" s="223"/>
      <c r="I14" s="224"/>
      <c r="J14" s="21"/>
      <c r="K14" s="225" t="s">
        <v>174</v>
      </c>
      <c r="L14" s="226"/>
      <c r="M14" s="226"/>
      <c r="N14" s="226"/>
      <c r="O14" s="226"/>
      <c r="P14" s="226"/>
      <c r="Q14" s="226"/>
      <c r="R14" s="226"/>
      <c r="S14" s="227"/>
      <c r="T14" s="7"/>
      <c r="U14" s="8"/>
    </row>
    <row r="15" spans="1:21" ht="15" customHeight="1" x14ac:dyDescent="0.25">
      <c r="A15" s="5"/>
      <c r="B15" s="228" t="s">
        <v>23</v>
      </c>
      <c r="C15" s="229"/>
      <c r="D15" s="229"/>
      <c r="E15" s="229"/>
      <c r="F15" s="229"/>
      <c r="G15" s="229"/>
      <c r="H15" s="229"/>
      <c r="I15" s="230"/>
      <c r="J15" s="21"/>
      <c r="K15" s="23"/>
      <c r="L15" s="25"/>
      <c r="M15" s="13"/>
      <c r="N15" s="13"/>
      <c r="O15" s="13"/>
      <c r="P15" s="13"/>
      <c r="Q15" s="13"/>
      <c r="R15" s="13"/>
      <c r="S15" s="13"/>
      <c r="T15" s="7"/>
      <c r="U15" s="8"/>
    </row>
    <row r="16" spans="1:21" x14ac:dyDescent="0.25">
      <c r="A16" s="9"/>
      <c r="B16" s="231" t="s">
        <v>24</v>
      </c>
      <c r="C16" s="232"/>
      <c r="D16" s="232"/>
      <c r="E16" s="232"/>
      <c r="F16" s="232"/>
      <c r="G16" s="232"/>
      <c r="H16" s="232"/>
      <c r="I16" s="233"/>
      <c r="J16" s="22"/>
      <c r="K16" s="22"/>
      <c r="L16" s="26"/>
      <c r="M16" s="2"/>
      <c r="N16" s="10"/>
      <c r="O16" s="10"/>
      <c r="P16" s="10"/>
      <c r="Q16" s="10"/>
      <c r="R16" s="10"/>
      <c r="S16" s="10"/>
      <c r="T16" s="2"/>
      <c r="U16" s="1"/>
    </row>
    <row r="17" spans="1:21" x14ac:dyDescent="0.25">
      <c r="A17" s="16"/>
      <c r="B17" s="11"/>
      <c r="C17" s="11"/>
      <c r="D17" s="11"/>
      <c r="E17" s="11"/>
      <c r="F17" s="11"/>
      <c r="G17" s="7"/>
      <c r="H17" s="7"/>
      <c r="I17" s="21"/>
      <c r="J17" s="22"/>
      <c r="K17" s="22"/>
      <c r="L17" s="26"/>
      <c r="M17" s="2"/>
      <c r="N17" s="10"/>
      <c r="O17" s="10"/>
      <c r="P17" s="10"/>
      <c r="Q17" s="10"/>
      <c r="R17" s="10"/>
      <c r="S17" s="10"/>
      <c r="T17" s="2"/>
      <c r="U17" s="1"/>
    </row>
    <row r="18" spans="1:21" x14ac:dyDescent="0.25">
      <c r="A18" s="16"/>
      <c r="B18" s="234" t="s">
        <v>12</v>
      </c>
      <c r="C18" s="234"/>
      <c r="D18" s="234"/>
      <c r="E18" s="234"/>
      <c r="F18" s="234"/>
      <c r="G18" s="234"/>
      <c r="H18" s="234"/>
      <c r="I18" s="235" t="s">
        <v>13</v>
      </c>
      <c r="J18" s="235"/>
      <c r="K18" s="235"/>
      <c r="L18" s="18" t="s">
        <v>14</v>
      </c>
      <c r="M18" s="194" t="s">
        <v>15</v>
      </c>
      <c r="N18" s="194"/>
      <c r="O18" s="194"/>
      <c r="P18" s="194"/>
      <c r="Q18" s="194"/>
      <c r="R18" s="194" t="s">
        <v>16</v>
      </c>
      <c r="S18" s="194"/>
      <c r="T18" s="194"/>
      <c r="U18" s="1"/>
    </row>
    <row r="19" spans="1:21" s="31" customFormat="1" ht="27" customHeight="1" x14ac:dyDescent="0.2">
      <c r="A19" s="28"/>
      <c r="B19" s="314" t="s">
        <v>126</v>
      </c>
      <c r="C19" s="315"/>
      <c r="D19" s="315"/>
      <c r="E19" s="315"/>
      <c r="F19" s="315"/>
      <c r="G19" s="315"/>
      <c r="H19" s="316"/>
      <c r="I19" s="191">
        <v>5</v>
      </c>
      <c r="J19" s="192"/>
      <c r="K19" s="193"/>
      <c r="L19" s="162" t="s">
        <v>29</v>
      </c>
      <c r="M19" s="214"/>
      <c r="N19" s="214"/>
      <c r="O19" s="214"/>
      <c r="P19" s="214"/>
      <c r="Q19" s="214"/>
      <c r="R19" s="214"/>
      <c r="S19" s="214"/>
      <c r="T19" s="214"/>
      <c r="U19" s="30"/>
    </row>
    <row r="20" spans="1:21" ht="19.5" customHeight="1" x14ac:dyDescent="0.25">
      <c r="A20" s="16"/>
      <c r="B20" s="313" t="s">
        <v>77</v>
      </c>
      <c r="C20" s="313"/>
      <c r="D20" s="313"/>
      <c r="E20" s="313"/>
      <c r="F20" s="313"/>
      <c r="G20" s="313"/>
      <c r="H20" s="313"/>
      <c r="I20" s="191">
        <v>24</v>
      </c>
      <c r="J20" s="192"/>
      <c r="K20" s="193"/>
      <c r="L20" s="162" t="s">
        <v>29</v>
      </c>
      <c r="M20" s="194"/>
      <c r="N20" s="194"/>
      <c r="O20" s="194"/>
      <c r="P20" s="194"/>
      <c r="Q20" s="194"/>
      <c r="R20" s="194"/>
      <c r="S20" s="194"/>
      <c r="T20" s="194"/>
      <c r="U20" s="1"/>
    </row>
    <row r="21" spans="1:21" ht="19.5" customHeight="1" x14ac:dyDescent="0.25">
      <c r="A21" s="16"/>
      <c r="B21" s="313" t="s">
        <v>56</v>
      </c>
      <c r="C21" s="313"/>
      <c r="D21" s="313"/>
      <c r="E21" s="313"/>
      <c r="F21" s="313"/>
      <c r="G21" s="313"/>
      <c r="H21" s="313"/>
      <c r="I21" s="191">
        <v>40</v>
      </c>
      <c r="J21" s="192"/>
      <c r="K21" s="193"/>
      <c r="L21" s="162" t="s">
        <v>29</v>
      </c>
      <c r="M21" s="194"/>
      <c r="N21" s="194"/>
      <c r="O21" s="194"/>
      <c r="P21" s="194"/>
      <c r="Q21" s="194"/>
      <c r="R21" s="194"/>
      <c r="S21" s="194"/>
      <c r="T21" s="194"/>
      <c r="U21" s="1"/>
    </row>
    <row r="22" spans="1:21" ht="19.5" customHeight="1" x14ac:dyDescent="0.25">
      <c r="A22" s="16"/>
      <c r="B22" s="313" t="s">
        <v>311</v>
      </c>
      <c r="C22" s="313"/>
      <c r="D22" s="313"/>
      <c r="E22" s="313"/>
      <c r="F22" s="313"/>
      <c r="G22" s="313"/>
      <c r="H22" s="313"/>
      <c r="I22" s="191">
        <v>1</v>
      </c>
      <c r="J22" s="192"/>
      <c r="K22" s="193"/>
      <c r="L22" s="162" t="s">
        <v>29</v>
      </c>
      <c r="M22" s="194"/>
      <c r="N22" s="194"/>
      <c r="O22" s="194"/>
      <c r="P22" s="194"/>
      <c r="Q22" s="194"/>
      <c r="R22" s="194"/>
      <c r="S22" s="194"/>
      <c r="T22" s="194"/>
      <c r="U22" s="1"/>
    </row>
    <row r="23" spans="1:21" ht="19.5" customHeight="1" x14ac:dyDescent="0.25">
      <c r="A23" s="16"/>
      <c r="B23" s="313" t="s">
        <v>202</v>
      </c>
      <c r="C23" s="313"/>
      <c r="D23" s="313"/>
      <c r="E23" s="313"/>
      <c r="F23" s="313"/>
      <c r="G23" s="313"/>
      <c r="H23" s="313"/>
      <c r="I23" s="191">
        <v>7</v>
      </c>
      <c r="J23" s="192"/>
      <c r="K23" s="193"/>
      <c r="L23" s="162" t="s">
        <v>29</v>
      </c>
      <c r="M23" s="194"/>
      <c r="N23" s="194"/>
      <c r="O23" s="194"/>
      <c r="P23" s="194"/>
      <c r="Q23" s="194"/>
      <c r="R23" s="194"/>
      <c r="S23" s="194"/>
      <c r="T23" s="194"/>
      <c r="U23" s="1"/>
    </row>
    <row r="24" spans="1:21" s="161" customFormat="1" ht="26.25" customHeight="1" x14ac:dyDescent="0.25">
      <c r="A24" s="159"/>
      <c r="B24" s="309" t="s">
        <v>274</v>
      </c>
      <c r="C24" s="310"/>
      <c r="D24" s="310"/>
      <c r="E24" s="310"/>
      <c r="F24" s="310"/>
      <c r="G24" s="310"/>
      <c r="H24" s="311"/>
      <c r="I24" s="191">
        <v>1</v>
      </c>
      <c r="J24" s="192"/>
      <c r="K24" s="193"/>
      <c r="L24" s="162" t="s">
        <v>29</v>
      </c>
      <c r="M24" s="312"/>
      <c r="N24" s="312"/>
      <c r="O24" s="312"/>
      <c r="P24" s="312"/>
      <c r="Q24" s="312"/>
      <c r="R24" s="312"/>
      <c r="S24" s="312"/>
      <c r="T24" s="312"/>
      <c r="U24" s="160"/>
    </row>
    <row r="25" spans="1:21" s="161" customFormat="1" ht="26.25" customHeight="1" x14ac:dyDescent="0.25">
      <c r="A25" s="159"/>
      <c r="B25" s="309" t="s">
        <v>275</v>
      </c>
      <c r="C25" s="310"/>
      <c r="D25" s="310"/>
      <c r="E25" s="310"/>
      <c r="F25" s="310"/>
      <c r="G25" s="310"/>
      <c r="H25" s="311"/>
      <c r="I25" s="191">
        <v>2</v>
      </c>
      <c r="J25" s="192"/>
      <c r="K25" s="193"/>
      <c r="L25" s="162" t="s">
        <v>29</v>
      </c>
      <c r="M25" s="312"/>
      <c r="N25" s="312"/>
      <c r="O25" s="312"/>
      <c r="P25" s="312"/>
      <c r="Q25" s="312"/>
      <c r="R25" s="312"/>
      <c r="S25" s="312"/>
      <c r="T25" s="312"/>
      <c r="U25" s="160"/>
    </row>
    <row r="26" spans="1:21" s="161" customFormat="1" ht="26.25" customHeight="1" x14ac:dyDescent="0.25">
      <c r="A26" s="159"/>
      <c r="B26" s="309" t="s">
        <v>276</v>
      </c>
      <c r="C26" s="310"/>
      <c r="D26" s="310"/>
      <c r="E26" s="310"/>
      <c r="F26" s="310"/>
      <c r="G26" s="310"/>
      <c r="H26" s="311"/>
      <c r="I26" s="202">
        <v>2</v>
      </c>
      <c r="J26" s="202"/>
      <c r="K26" s="202"/>
      <c r="L26" s="162" t="s">
        <v>29</v>
      </c>
      <c r="M26" s="312"/>
      <c r="N26" s="312"/>
      <c r="O26" s="312"/>
      <c r="P26" s="312"/>
      <c r="Q26" s="312"/>
      <c r="R26" s="312"/>
      <c r="S26" s="312"/>
      <c r="T26" s="312"/>
      <c r="U26" s="160"/>
    </row>
    <row r="27" spans="1:21" ht="19.5" customHeight="1" x14ac:dyDescent="0.25">
      <c r="A27" s="16"/>
      <c r="B27" s="207" t="s">
        <v>277</v>
      </c>
      <c r="C27" s="208"/>
      <c r="D27" s="208"/>
      <c r="E27" s="208"/>
      <c r="F27" s="208"/>
      <c r="G27" s="208"/>
      <c r="H27" s="208"/>
      <c r="I27" s="209">
        <v>1</v>
      </c>
      <c r="J27" s="209"/>
      <c r="K27" s="209"/>
      <c r="L27" s="162" t="s">
        <v>29</v>
      </c>
      <c r="M27" s="194"/>
      <c r="N27" s="194"/>
      <c r="O27" s="194"/>
      <c r="P27" s="194"/>
      <c r="Q27" s="194"/>
      <c r="R27" s="194"/>
      <c r="S27" s="194"/>
      <c r="T27" s="194"/>
      <c r="U27" s="1"/>
    </row>
    <row r="28" spans="1:21" ht="19.5" customHeight="1" x14ac:dyDescent="0.25">
      <c r="A28" s="16"/>
      <c r="B28" s="190"/>
      <c r="C28" s="190"/>
      <c r="D28" s="190"/>
      <c r="E28" s="190"/>
      <c r="F28" s="190"/>
      <c r="G28" s="190"/>
      <c r="H28" s="190"/>
      <c r="I28" s="209"/>
      <c r="J28" s="209"/>
      <c r="K28" s="209"/>
      <c r="L28" s="32"/>
      <c r="M28" s="194"/>
      <c r="N28" s="194"/>
      <c r="O28" s="194"/>
      <c r="P28" s="194"/>
      <c r="Q28" s="194"/>
      <c r="R28" s="194"/>
      <c r="S28" s="194"/>
      <c r="T28" s="194"/>
      <c r="U28" s="1"/>
    </row>
    <row r="29" spans="1:21" ht="47.25" customHeight="1" x14ac:dyDescent="0.25">
      <c r="A29" s="16"/>
      <c r="B29" s="199"/>
      <c r="C29" s="200"/>
      <c r="D29" s="200"/>
      <c r="E29" s="201"/>
      <c r="F29" s="202" t="s">
        <v>17</v>
      </c>
      <c r="G29" s="202"/>
      <c r="H29" s="202"/>
      <c r="I29" s="202"/>
      <c r="J29" s="202"/>
      <c r="K29" s="202"/>
      <c r="L29" s="202"/>
      <c r="M29" s="202"/>
      <c r="N29" s="202"/>
      <c r="O29" s="202"/>
      <c r="P29" s="203"/>
      <c r="Q29" s="204"/>
      <c r="R29" s="204"/>
      <c r="S29" s="204"/>
      <c r="T29" s="205"/>
      <c r="U29" s="1"/>
    </row>
    <row r="30" spans="1:21" ht="13.5" customHeight="1" x14ac:dyDescent="0.25">
      <c r="A30" s="16"/>
      <c r="B30" s="199"/>
      <c r="C30" s="200"/>
      <c r="D30" s="200"/>
      <c r="E30" s="200"/>
      <c r="F30" s="200"/>
      <c r="G30" s="201"/>
      <c r="H30" s="206" t="s">
        <v>18</v>
      </c>
      <c r="I30" s="206"/>
      <c r="J30" s="206"/>
      <c r="K30" s="206"/>
      <c r="L30" s="206"/>
      <c r="M30" s="206"/>
      <c r="N30" s="206"/>
      <c r="O30" s="206"/>
      <c r="P30" s="203"/>
      <c r="Q30" s="204"/>
      <c r="R30" s="204"/>
      <c r="S30" s="204"/>
      <c r="T30" s="205"/>
      <c r="U30" s="1"/>
    </row>
    <row r="31" spans="1:21" ht="15" customHeight="1" x14ac:dyDescent="0.25">
      <c r="B31" s="195" t="s">
        <v>19</v>
      </c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6"/>
    </row>
    <row r="32" spans="1:21" x14ac:dyDescent="0.25">
      <c r="A32" s="17"/>
      <c r="B32" s="197"/>
      <c r="C32" s="197"/>
      <c r="D32" s="197"/>
      <c r="E32" s="197"/>
      <c r="F32" s="197"/>
      <c r="G32" s="197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8"/>
    </row>
    <row r="34" spans="1:1" x14ac:dyDescent="0.25">
      <c r="A34" t="s">
        <v>20</v>
      </c>
    </row>
  </sheetData>
  <mergeCells count="77">
    <mergeCell ref="A5:C5"/>
    <mergeCell ref="D5:K5"/>
    <mergeCell ref="L5:P5"/>
    <mergeCell ref="Q5:U5"/>
    <mergeCell ref="A1:C3"/>
    <mergeCell ref="D1:U1"/>
    <mergeCell ref="D2:U2"/>
    <mergeCell ref="D3:U4"/>
    <mergeCell ref="A4:C4"/>
    <mergeCell ref="B13:I13"/>
    <mergeCell ref="K13:S13"/>
    <mergeCell ref="B7:I7"/>
    <mergeCell ref="B8:I8"/>
    <mergeCell ref="B9:I9"/>
    <mergeCell ref="K9:S9"/>
    <mergeCell ref="B10:I10"/>
    <mergeCell ref="K10:S10"/>
    <mergeCell ref="B11:F11"/>
    <mergeCell ref="G11:I11"/>
    <mergeCell ref="K11:S11"/>
    <mergeCell ref="B12:I12"/>
    <mergeCell ref="K12:S12"/>
    <mergeCell ref="B14:I14"/>
    <mergeCell ref="K14:S14"/>
    <mergeCell ref="B15:I15"/>
    <mergeCell ref="B16:I16"/>
    <mergeCell ref="B18:H18"/>
    <mergeCell ref="I18:K18"/>
    <mergeCell ref="M18:Q18"/>
    <mergeCell ref="R18:T18"/>
    <mergeCell ref="B20:H20"/>
    <mergeCell ref="I20:K20"/>
    <mergeCell ref="M20:Q20"/>
    <mergeCell ref="R20:T20"/>
    <mergeCell ref="B19:H19"/>
    <mergeCell ref="I19:K19"/>
    <mergeCell ref="M19:Q19"/>
    <mergeCell ref="R19:T19"/>
    <mergeCell ref="B21:H21"/>
    <mergeCell ref="I21:K21"/>
    <mergeCell ref="M21:Q21"/>
    <mergeCell ref="R21:T21"/>
    <mergeCell ref="B22:H22"/>
    <mergeCell ref="I22:K22"/>
    <mergeCell ref="M22:Q22"/>
    <mergeCell ref="R22:T22"/>
    <mergeCell ref="B23:H23"/>
    <mergeCell ref="I23:K23"/>
    <mergeCell ref="M23:Q23"/>
    <mergeCell ref="R23:T23"/>
    <mergeCell ref="B24:H24"/>
    <mergeCell ref="I24:K24"/>
    <mergeCell ref="M24:Q24"/>
    <mergeCell ref="R24:T24"/>
    <mergeCell ref="B25:H25"/>
    <mergeCell ref="I25:K25"/>
    <mergeCell ref="M25:Q25"/>
    <mergeCell ref="R25:T25"/>
    <mergeCell ref="B26:H26"/>
    <mergeCell ref="I26:K26"/>
    <mergeCell ref="M26:Q26"/>
    <mergeCell ref="R26:T26"/>
    <mergeCell ref="B27:H27"/>
    <mergeCell ref="I27:K27"/>
    <mergeCell ref="M27:Q27"/>
    <mergeCell ref="R27:T27"/>
    <mergeCell ref="B28:H28"/>
    <mergeCell ref="I28:K28"/>
    <mergeCell ref="M28:Q28"/>
    <mergeCell ref="R28:T28"/>
    <mergeCell ref="B31:U32"/>
    <mergeCell ref="B29:E29"/>
    <mergeCell ref="F29:O29"/>
    <mergeCell ref="P29:T29"/>
    <mergeCell ref="B30:G30"/>
    <mergeCell ref="H30:O30"/>
    <mergeCell ref="P30:T30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6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260B-CEB0-4C26-B8FE-A72F070C3282}">
  <sheetPr>
    <tabColor theme="0"/>
    <pageSetUpPr fitToPage="1"/>
  </sheetPr>
  <dimension ref="A1:U37"/>
  <sheetViews>
    <sheetView view="pageBreakPreview" topLeftCell="A4" zoomScale="90" zoomScaleNormal="100" zoomScaleSheetLayoutView="90" workbookViewId="0">
      <selection activeCell="K14" sqref="K14:S14"/>
    </sheetView>
  </sheetViews>
  <sheetFormatPr baseColWidth="10" defaultColWidth="10.7109375" defaultRowHeight="15" x14ac:dyDescent="0.25"/>
  <cols>
    <col min="1" max="1" width="2" customWidth="1"/>
    <col min="2" max="2" width="6.28515625" customWidth="1"/>
    <col min="3" max="3" width="5.7109375" customWidth="1"/>
    <col min="4" max="4" width="11.85546875" customWidth="1"/>
    <col min="5" max="5" width="3.5703125" customWidth="1"/>
    <col min="6" max="6" width="2.85546875" customWidth="1"/>
    <col min="7" max="7" width="3.28515625" customWidth="1"/>
    <col min="8" max="8" width="25.7109375" customWidth="1"/>
    <col min="9" max="9" width="5.85546875" style="20" customWidth="1"/>
    <col min="10" max="10" width="4.85546875" style="20" customWidth="1"/>
    <col min="11" max="11" width="2.5703125" style="20" customWidth="1"/>
    <col min="12" max="12" width="14" style="19" customWidth="1"/>
    <col min="13" max="13" width="1.85546875" customWidth="1"/>
    <col min="14" max="14" width="2.28515625" customWidth="1"/>
    <col min="15" max="15" width="1.85546875" customWidth="1"/>
    <col min="16" max="16" width="2.7109375" customWidth="1"/>
    <col min="17" max="18" width="3.85546875" customWidth="1"/>
    <col min="19" max="19" width="4" customWidth="1"/>
    <col min="20" max="20" width="3.28515625" customWidth="1"/>
    <col min="21" max="21" width="1.7109375" customWidth="1"/>
  </cols>
  <sheetData>
    <row r="1" spans="1:21" x14ac:dyDescent="0.25">
      <c r="A1" s="263"/>
      <c r="B1" s="263"/>
      <c r="C1" s="263"/>
      <c r="D1" s="264" t="s">
        <v>0</v>
      </c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</row>
    <row r="2" spans="1:21" x14ac:dyDescent="0.25">
      <c r="A2" s="263"/>
      <c r="B2" s="263"/>
      <c r="C2" s="263"/>
      <c r="D2" s="264" t="s">
        <v>1</v>
      </c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</row>
    <row r="3" spans="1:21" x14ac:dyDescent="0.25">
      <c r="A3" s="263"/>
      <c r="B3" s="263"/>
      <c r="C3" s="263"/>
      <c r="D3" s="264" t="s">
        <v>2</v>
      </c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4"/>
    </row>
    <row r="4" spans="1:21" x14ac:dyDescent="0.25">
      <c r="A4" s="265" t="s">
        <v>3</v>
      </c>
      <c r="B4" s="265"/>
      <c r="C4" s="265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4"/>
    </row>
    <row r="5" spans="1:21" ht="21" customHeight="1" x14ac:dyDescent="0.25">
      <c r="A5" s="242"/>
      <c r="B5" s="243"/>
      <c r="C5" s="244"/>
      <c r="D5" s="245" t="s">
        <v>4</v>
      </c>
      <c r="E5" s="246"/>
      <c r="F5" s="246"/>
      <c r="G5" s="246"/>
      <c r="H5" s="246"/>
      <c r="I5" s="246"/>
      <c r="J5" s="246"/>
      <c r="K5" s="246"/>
      <c r="L5" s="247" t="s">
        <v>5</v>
      </c>
      <c r="M5" s="247"/>
      <c r="N5" s="247"/>
      <c r="O5" s="247"/>
      <c r="P5" s="247"/>
      <c r="Q5" s="248" t="s">
        <v>21</v>
      </c>
      <c r="R5" s="248"/>
      <c r="S5" s="248"/>
      <c r="T5" s="248"/>
      <c r="U5" s="249"/>
    </row>
    <row r="6" spans="1:21" x14ac:dyDescent="0.25">
      <c r="A6" s="14"/>
      <c r="B6" s="15"/>
      <c r="C6" s="15"/>
      <c r="U6" s="1"/>
    </row>
    <row r="7" spans="1:21" x14ac:dyDescent="0.25">
      <c r="A7" s="16"/>
      <c r="B7" s="250" t="s">
        <v>6</v>
      </c>
      <c r="C7" s="251"/>
      <c r="D7" s="251"/>
      <c r="E7" s="251"/>
      <c r="F7" s="251"/>
      <c r="G7" s="251"/>
      <c r="H7" s="251"/>
      <c r="I7" s="252"/>
      <c r="J7" s="22"/>
      <c r="K7" s="22"/>
      <c r="U7" s="1"/>
    </row>
    <row r="8" spans="1:21" x14ac:dyDescent="0.25">
      <c r="A8" s="16"/>
      <c r="B8" s="253" t="s">
        <v>7</v>
      </c>
      <c r="C8" s="253"/>
      <c r="D8" s="253"/>
      <c r="E8" s="253"/>
      <c r="F8" s="253"/>
      <c r="G8" s="253"/>
      <c r="H8" s="253"/>
      <c r="I8" s="253"/>
      <c r="J8" s="23"/>
      <c r="K8" s="23"/>
      <c r="L8" s="25"/>
      <c r="M8" s="3"/>
      <c r="N8" s="3"/>
      <c r="O8" s="3"/>
      <c r="P8" s="3"/>
      <c r="Q8" s="3"/>
      <c r="R8" s="3"/>
      <c r="S8" s="3"/>
      <c r="T8" s="3"/>
      <c r="U8" s="4"/>
    </row>
    <row r="9" spans="1:21" x14ac:dyDescent="0.25">
      <c r="A9" s="16"/>
      <c r="B9" s="253" t="s">
        <v>8</v>
      </c>
      <c r="C9" s="253"/>
      <c r="D9" s="253"/>
      <c r="E9" s="253"/>
      <c r="F9" s="253"/>
      <c r="G9" s="253"/>
      <c r="H9" s="253"/>
      <c r="I9" s="253"/>
      <c r="J9" s="23"/>
      <c r="K9" s="254" t="s">
        <v>9</v>
      </c>
      <c r="L9" s="254"/>
      <c r="M9" s="254"/>
      <c r="N9" s="254"/>
      <c r="O9" s="254"/>
      <c r="P9" s="254"/>
      <c r="Q9" s="254"/>
      <c r="R9" s="254"/>
      <c r="S9" s="254"/>
      <c r="T9" s="3"/>
      <c r="U9" s="4"/>
    </row>
    <row r="10" spans="1:21" x14ac:dyDescent="0.25">
      <c r="A10" s="16"/>
      <c r="B10" s="253" t="s">
        <v>10</v>
      </c>
      <c r="C10" s="253"/>
      <c r="D10" s="253"/>
      <c r="E10" s="253"/>
      <c r="F10" s="253"/>
      <c r="G10" s="253"/>
      <c r="H10" s="253"/>
      <c r="I10" s="253"/>
      <c r="J10" s="22"/>
      <c r="K10" s="255" t="s">
        <v>11</v>
      </c>
      <c r="L10" s="255"/>
      <c r="M10" s="255"/>
      <c r="N10" s="255"/>
      <c r="O10" s="255"/>
      <c r="P10" s="255"/>
      <c r="Q10" s="255"/>
      <c r="R10" s="255"/>
      <c r="S10" s="255"/>
      <c r="T10" s="2"/>
      <c r="U10" s="1"/>
    </row>
    <row r="11" spans="1:21" ht="35.25" customHeight="1" x14ac:dyDescent="0.25">
      <c r="A11" s="5"/>
      <c r="B11" s="256" t="s">
        <v>170</v>
      </c>
      <c r="C11" s="257"/>
      <c r="D11" s="257"/>
      <c r="E11" s="257"/>
      <c r="F11" s="258"/>
      <c r="G11" s="239" t="s">
        <v>313</v>
      </c>
      <c r="H11" s="237"/>
      <c r="I11" s="238"/>
      <c r="J11" s="23"/>
      <c r="K11" s="260" t="s">
        <v>28</v>
      </c>
      <c r="L11" s="261"/>
      <c r="M11" s="261"/>
      <c r="N11" s="261"/>
      <c r="O11" s="261"/>
      <c r="P11" s="261"/>
      <c r="Q11" s="261"/>
      <c r="R11" s="261"/>
      <c r="S11" s="262"/>
      <c r="T11" s="12"/>
      <c r="U11" s="6"/>
    </row>
    <row r="12" spans="1:21" ht="15" customHeight="1" x14ac:dyDescent="0.25">
      <c r="A12" s="5"/>
      <c r="B12" s="239" t="s">
        <v>22</v>
      </c>
      <c r="C12" s="240"/>
      <c r="D12" s="240"/>
      <c r="E12" s="240"/>
      <c r="F12" s="240"/>
      <c r="G12" s="240"/>
      <c r="H12" s="240"/>
      <c r="I12" s="241"/>
      <c r="J12" s="23"/>
      <c r="K12" s="225" t="s">
        <v>25</v>
      </c>
      <c r="L12" s="226"/>
      <c r="M12" s="226"/>
      <c r="N12" s="226"/>
      <c r="O12" s="226"/>
      <c r="P12" s="226"/>
      <c r="Q12" s="226"/>
      <c r="R12" s="226"/>
      <c r="S12" s="227"/>
      <c r="T12" s="12"/>
      <c r="U12" s="6"/>
    </row>
    <row r="13" spans="1:21" x14ac:dyDescent="0.25">
      <c r="A13" s="5"/>
      <c r="B13" s="236" t="s">
        <v>27</v>
      </c>
      <c r="C13" s="237"/>
      <c r="D13" s="237"/>
      <c r="E13" s="237"/>
      <c r="F13" s="237"/>
      <c r="G13" s="237"/>
      <c r="H13" s="237"/>
      <c r="I13" s="238"/>
      <c r="J13" s="24"/>
      <c r="K13" s="225" t="s">
        <v>245</v>
      </c>
      <c r="L13" s="226"/>
      <c r="M13" s="226"/>
      <c r="N13" s="226"/>
      <c r="O13" s="226"/>
      <c r="P13" s="226"/>
      <c r="Q13" s="226"/>
      <c r="R13" s="226"/>
      <c r="S13" s="227"/>
      <c r="T13" s="3"/>
      <c r="U13" s="4"/>
    </row>
    <row r="14" spans="1:21" ht="30" customHeight="1" x14ac:dyDescent="0.25">
      <c r="A14" s="5"/>
      <c r="B14" s="222" t="s">
        <v>26</v>
      </c>
      <c r="C14" s="223"/>
      <c r="D14" s="223"/>
      <c r="E14" s="223"/>
      <c r="F14" s="223"/>
      <c r="G14" s="223"/>
      <c r="H14" s="223"/>
      <c r="I14" s="224"/>
      <c r="J14" s="21"/>
      <c r="K14" s="225" t="s">
        <v>175</v>
      </c>
      <c r="L14" s="226"/>
      <c r="M14" s="226"/>
      <c r="N14" s="226"/>
      <c r="O14" s="226"/>
      <c r="P14" s="226"/>
      <c r="Q14" s="226"/>
      <c r="R14" s="226"/>
      <c r="S14" s="227"/>
      <c r="T14" s="7"/>
      <c r="U14" s="8"/>
    </row>
    <row r="15" spans="1:21" ht="15" customHeight="1" x14ac:dyDescent="0.25">
      <c r="A15" s="5"/>
      <c r="B15" s="228" t="s">
        <v>23</v>
      </c>
      <c r="C15" s="229"/>
      <c r="D15" s="229"/>
      <c r="E15" s="229"/>
      <c r="F15" s="229"/>
      <c r="G15" s="229"/>
      <c r="H15" s="229"/>
      <c r="I15" s="230"/>
      <c r="J15" s="21"/>
      <c r="K15" s="23"/>
      <c r="L15" s="25"/>
      <c r="M15" s="13"/>
      <c r="N15" s="13"/>
      <c r="O15" s="13"/>
      <c r="P15" s="13"/>
      <c r="Q15" s="13"/>
      <c r="R15" s="13"/>
      <c r="S15" s="13"/>
      <c r="T15" s="7"/>
      <c r="U15" s="8"/>
    </row>
    <row r="16" spans="1:21" x14ac:dyDescent="0.25">
      <c r="A16" s="9"/>
      <c r="B16" s="231" t="s">
        <v>24</v>
      </c>
      <c r="C16" s="232"/>
      <c r="D16" s="232"/>
      <c r="E16" s="232"/>
      <c r="F16" s="232"/>
      <c r="G16" s="232"/>
      <c r="H16" s="232"/>
      <c r="I16" s="233"/>
      <c r="J16" s="22"/>
      <c r="K16" s="22"/>
      <c r="L16" s="26"/>
      <c r="M16" s="2"/>
      <c r="N16" s="10"/>
      <c r="O16" s="10"/>
      <c r="P16" s="10"/>
      <c r="Q16" s="10"/>
      <c r="R16" s="10"/>
      <c r="S16" s="10"/>
      <c r="T16" s="2"/>
      <c r="U16" s="1"/>
    </row>
    <row r="17" spans="1:21" x14ac:dyDescent="0.25">
      <c r="A17" s="16"/>
      <c r="B17" s="11"/>
      <c r="C17" s="11"/>
      <c r="D17" s="11"/>
      <c r="E17" s="11"/>
      <c r="F17" s="11"/>
      <c r="G17" s="7"/>
      <c r="H17" s="7"/>
      <c r="I17" s="21"/>
      <c r="J17" s="22"/>
      <c r="K17" s="22"/>
      <c r="L17" s="26"/>
      <c r="M17" s="2"/>
      <c r="N17" s="10"/>
      <c r="O17" s="10"/>
      <c r="P17" s="10"/>
      <c r="Q17" s="10"/>
      <c r="R17" s="10"/>
      <c r="S17" s="10"/>
      <c r="T17" s="2"/>
      <c r="U17" s="1"/>
    </row>
    <row r="18" spans="1:21" x14ac:dyDescent="0.25">
      <c r="A18" s="16"/>
      <c r="B18" s="234" t="s">
        <v>12</v>
      </c>
      <c r="C18" s="234"/>
      <c r="D18" s="234"/>
      <c r="E18" s="234"/>
      <c r="F18" s="234"/>
      <c r="G18" s="234"/>
      <c r="H18" s="234"/>
      <c r="I18" s="235" t="s">
        <v>13</v>
      </c>
      <c r="J18" s="235"/>
      <c r="K18" s="235"/>
      <c r="L18" s="18" t="s">
        <v>14</v>
      </c>
      <c r="M18" s="194" t="s">
        <v>15</v>
      </c>
      <c r="N18" s="194"/>
      <c r="O18" s="194"/>
      <c r="P18" s="194"/>
      <c r="Q18" s="194"/>
      <c r="R18" s="194" t="s">
        <v>16</v>
      </c>
      <c r="S18" s="194"/>
      <c r="T18" s="194"/>
      <c r="U18" s="1"/>
    </row>
    <row r="19" spans="1:21" s="31" customFormat="1" ht="27" customHeight="1" x14ac:dyDescent="0.25">
      <c r="A19" s="28"/>
      <c r="B19" s="306" t="s">
        <v>120</v>
      </c>
      <c r="C19" s="307"/>
      <c r="D19" s="307"/>
      <c r="E19" s="307"/>
      <c r="F19" s="307"/>
      <c r="G19" s="307"/>
      <c r="H19" s="308"/>
      <c r="I19" s="211">
        <v>35</v>
      </c>
      <c r="J19" s="212"/>
      <c r="K19" s="213"/>
      <c r="L19" s="29" t="s">
        <v>29</v>
      </c>
      <c r="M19" s="214"/>
      <c r="N19" s="214"/>
      <c r="O19" s="214"/>
      <c r="P19" s="214"/>
      <c r="Q19" s="214"/>
      <c r="R19" s="214"/>
      <c r="S19" s="214"/>
      <c r="T19" s="214"/>
      <c r="U19" s="30"/>
    </row>
    <row r="20" spans="1:21" s="31" customFormat="1" ht="33" customHeight="1" x14ac:dyDescent="0.25">
      <c r="A20" s="28"/>
      <c r="B20" s="210" t="s">
        <v>312</v>
      </c>
      <c r="C20" s="210"/>
      <c r="D20" s="210"/>
      <c r="E20" s="210"/>
      <c r="F20" s="210"/>
      <c r="G20" s="210"/>
      <c r="H20" s="210"/>
      <c r="I20" s="211">
        <v>1</v>
      </c>
      <c r="J20" s="212"/>
      <c r="K20" s="213"/>
      <c r="L20" s="29" t="s">
        <v>29</v>
      </c>
      <c r="M20" s="214"/>
      <c r="N20" s="214"/>
      <c r="O20" s="214"/>
      <c r="P20" s="214"/>
      <c r="Q20" s="214"/>
      <c r="R20" s="214"/>
      <c r="S20" s="214"/>
      <c r="T20" s="214"/>
      <c r="U20" s="30"/>
    </row>
    <row r="21" spans="1:21" s="31" customFormat="1" ht="24" customHeight="1" x14ac:dyDescent="0.25">
      <c r="A21" s="28"/>
      <c r="B21" s="210"/>
      <c r="C21" s="210"/>
      <c r="D21" s="210"/>
      <c r="E21" s="210"/>
      <c r="F21" s="210"/>
      <c r="G21" s="210"/>
      <c r="H21" s="210"/>
      <c r="I21" s="211"/>
      <c r="J21" s="212"/>
      <c r="K21" s="213"/>
      <c r="L21" s="29"/>
      <c r="M21" s="214"/>
      <c r="N21" s="214"/>
      <c r="O21" s="214"/>
      <c r="P21" s="214"/>
      <c r="Q21" s="214"/>
      <c r="R21" s="214"/>
      <c r="S21" s="214"/>
      <c r="T21" s="214"/>
      <c r="U21" s="30"/>
    </row>
    <row r="22" spans="1:21" s="31" customFormat="1" ht="33" customHeight="1" x14ac:dyDescent="0.25">
      <c r="A22" s="28"/>
      <c r="B22" s="210"/>
      <c r="C22" s="210"/>
      <c r="D22" s="210"/>
      <c r="E22" s="210"/>
      <c r="F22" s="210"/>
      <c r="G22" s="210"/>
      <c r="H22" s="210"/>
      <c r="I22" s="211"/>
      <c r="J22" s="212"/>
      <c r="K22" s="213"/>
      <c r="L22" s="29"/>
      <c r="M22" s="214"/>
      <c r="N22" s="214"/>
      <c r="O22" s="214"/>
      <c r="P22" s="214"/>
      <c r="Q22" s="214"/>
      <c r="R22" s="215"/>
      <c r="S22" s="216"/>
      <c r="T22" s="217"/>
      <c r="U22" s="30"/>
    </row>
    <row r="23" spans="1:21" s="34" customFormat="1" ht="19.5" customHeight="1" x14ac:dyDescent="0.25">
      <c r="A23" s="69"/>
      <c r="B23" s="210"/>
      <c r="C23" s="210"/>
      <c r="D23" s="210"/>
      <c r="E23" s="210"/>
      <c r="F23" s="210"/>
      <c r="G23" s="210"/>
      <c r="H23" s="210"/>
      <c r="I23" s="211"/>
      <c r="J23" s="212"/>
      <c r="K23" s="213"/>
      <c r="L23" s="29"/>
      <c r="M23" s="214"/>
      <c r="N23" s="214"/>
      <c r="O23" s="214"/>
      <c r="P23" s="214"/>
      <c r="Q23" s="214"/>
      <c r="R23" s="214"/>
      <c r="S23" s="214"/>
      <c r="T23" s="214"/>
      <c r="U23" s="70"/>
    </row>
    <row r="24" spans="1:21" s="34" customFormat="1" ht="19.5" customHeight="1" x14ac:dyDescent="0.2">
      <c r="A24" s="69"/>
      <c r="B24" s="190"/>
      <c r="C24" s="190"/>
      <c r="D24" s="190"/>
      <c r="E24" s="190"/>
      <c r="F24" s="190"/>
      <c r="G24" s="190"/>
      <c r="H24" s="190"/>
      <c r="I24" s="191"/>
      <c r="J24" s="192"/>
      <c r="K24" s="193"/>
      <c r="L24" s="27"/>
      <c r="M24" s="214"/>
      <c r="N24" s="214"/>
      <c r="O24" s="214"/>
      <c r="P24" s="214"/>
      <c r="Q24" s="214"/>
      <c r="R24" s="214"/>
      <c r="S24" s="214"/>
      <c r="T24" s="214"/>
      <c r="U24" s="70"/>
    </row>
    <row r="25" spans="1:21" s="34" customFormat="1" ht="24" customHeight="1" x14ac:dyDescent="0.2">
      <c r="A25" s="69"/>
      <c r="B25" s="190"/>
      <c r="C25" s="190"/>
      <c r="D25" s="190"/>
      <c r="E25" s="190"/>
      <c r="F25" s="190"/>
      <c r="G25" s="190"/>
      <c r="H25" s="190"/>
      <c r="I25" s="191"/>
      <c r="J25" s="192"/>
      <c r="K25" s="193"/>
      <c r="L25" s="27"/>
      <c r="M25" s="214"/>
      <c r="N25" s="214"/>
      <c r="O25" s="214"/>
      <c r="P25" s="214"/>
      <c r="Q25" s="214"/>
      <c r="R25" s="214"/>
      <c r="S25" s="214"/>
      <c r="T25" s="214"/>
      <c r="U25" s="70"/>
    </row>
    <row r="26" spans="1:21" ht="19.5" customHeight="1" x14ac:dyDescent="0.25">
      <c r="A26" s="16"/>
      <c r="B26" s="190"/>
      <c r="C26" s="190"/>
      <c r="D26" s="190"/>
      <c r="E26" s="190"/>
      <c r="F26" s="190"/>
      <c r="G26" s="190"/>
      <c r="H26" s="190"/>
      <c r="I26" s="191"/>
      <c r="J26" s="192"/>
      <c r="K26" s="193"/>
      <c r="L26" s="27"/>
      <c r="M26" s="194"/>
      <c r="N26" s="194"/>
      <c r="O26" s="194"/>
      <c r="P26" s="194"/>
      <c r="Q26" s="194"/>
      <c r="R26" s="194"/>
      <c r="S26" s="194"/>
      <c r="T26" s="194"/>
      <c r="U26" s="1"/>
    </row>
    <row r="27" spans="1:21" ht="19.5" customHeight="1" x14ac:dyDescent="0.25">
      <c r="A27" s="16"/>
      <c r="B27" s="190"/>
      <c r="C27" s="190"/>
      <c r="D27" s="190"/>
      <c r="E27" s="190"/>
      <c r="F27" s="190"/>
      <c r="G27" s="190"/>
      <c r="H27" s="190"/>
      <c r="I27" s="191"/>
      <c r="J27" s="192"/>
      <c r="K27" s="193"/>
      <c r="L27" s="27"/>
      <c r="M27" s="194"/>
      <c r="N27" s="194"/>
      <c r="O27" s="194"/>
      <c r="P27" s="194"/>
      <c r="Q27" s="194"/>
      <c r="R27" s="194"/>
      <c r="S27" s="194"/>
      <c r="T27" s="194"/>
      <c r="U27" s="1"/>
    </row>
    <row r="28" spans="1:21" ht="18.75" customHeight="1" x14ac:dyDescent="0.25">
      <c r="A28" s="16"/>
      <c r="B28" s="190"/>
      <c r="C28" s="190"/>
      <c r="D28" s="190"/>
      <c r="E28" s="190"/>
      <c r="F28" s="190"/>
      <c r="G28" s="190"/>
      <c r="H28" s="190"/>
      <c r="I28" s="191"/>
      <c r="J28" s="192"/>
      <c r="K28" s="193"/>
      <c r="L28" s="27"/>
      <c r="M28" s="194"/>
      <c r="N28" s="194"/>
      <c r="O28" s="194"/>
      <c r="P28" s="194"/>
      <c r="Q28" s="194"/>
      <c r="R28" s="194"/>
      <c r="S28" s="194"/>
      <c r="T28" s="194"/>
      <c r="U28" s="1"/>
    </row>
    <row r="29" spans="1:21" ht="19.5" customHeight="1" x14ac:dyDescent="0.25">
      <c r="A29" s="16"/>
      <c r="B29" s="207"/>
      <c r="C29" s="208"/>
      <c r="D29" s="208"/>
      <c r="E29" s="208"/>
      <c r="F29" s="208"/>
      <c r="G29" s="208"/>
      <c r="H29" s="208"/>
      <c r="I29" s="202"/>
      <c r="J29" s="202"/>
      <c r="K29" s="202"/>
      <c r="L29" s="32"/>
      <c r="M29" s="194"/>
      <c r="N29" s="194"/>
      <c r="O29" s="194"/>
      <c r="P29" s="194"/>
      <c r="Q29" s="194"/>
      <c r="R29" s="194"/>
      <c r="S29" s="194"/>
      <c r="T29" s="194"/>
      <c r="U29" s="1"/>
    </row>
    <row r="30" spans="1:21" ht="19.5" customHeight="1" x14ac:dyDescent="0.25">
      <c r="A30" s="16"/>
      <c r="B30" s="207"/>
      <c r="C30" s="208"/>
      <c r="D30" s="208"/>
      <c r="E30" s="208"/>
      <c r="F30" s="208"/>
      <c r="G30" s="208"/>
      <c r="H30" s="208"/>
      <c r="I30" s="209"/>
      <c r="J30" s="209"/>
      <c r="K30" s="209"/>
      <c r="L30" s="32"/>
      <c r="M30" s="194"/>
      <c r="N30" s="194"/>
      <c r="O30" s="194"/>
      <c r="P30" s="194"/>
      <c r="Q30" s="194"/>
      <c r="R30" s="194"/>
      <c r="S30" s="194"/>
      <c r="T30" s="194"/>
      <c r="U30" s="1"/>
    </row>
    <row r="31" spans="1:21" ht="19.5" customHeight="1" x14ac:dyDescent="0.25">
      <c r="A31" s="16"/>
      <c r="B31" s="190"/>
      <c r="C31" s="190"/>
      <c r="D31" s="190"/>
      <c r="E31" s="190"/>
      <c r="F31" s="190"/>
      <c r="G31" s="190"/>
      <c r="H31" s="190"/>
      <c r="I31" s="209"/>
      <c r="J31" s="209"/>
      <c r="K31" s="209"/>
      <c r="L31" s="32"/>
      <c r="M31" s="194"/>
      <c r="N31" s="194"/>
      <c r="O31" s="194"/>
      <c r="P31" s="194"/>
      <c r="Q31" s="194"/>
      <c r="R31" s="194"/>
      <c r="S31" s="194"/>
      <c r="T31" s="194"/>
      <c r="U31" s="1"/>
    </row>
    <row r="32" spans="1:21" ht="47.25" customHeight="1" x14ac:dyDescent="0.25">
      <c r="A32" s="16"/>
      <c r="B32" s="199"/>
      <c r="C32" s="200"/>
      <c r="D32" s="200"/>
      <c r="E32" s="201"/>
      <c r="F32" s="202" t="s">
        <v>17</v>
      </c>
      <c r="G32" s="202"/>
      <c r="H32" s="202"/>
      <c r="I32" s="202"/>
      <c r="J32" s="202"/>
      <c r="K32" s="202"/>
      <c r="L32" s="202"/>
      <c r="M32" s="202"/>
      <c r="N32" s="202"/>
      <c r="O32" s="202"/>
      <c r="P32" s="203"/>
      <c r="Q32" s="204"/>
      <c r="R32" s="204"/>
      <c r="S32" s="204"/>
      <c r="T32" s="205"/>
      <c r="U32" s="1"/>
    </row>
    <row r="33" spans="1:21" ht="13.5" customHeight="1" x14ac:dyDescent="0.25">
      <c r="A33" s="16"/>
      <c r="B33" s="199"/>
      <c r="C33" s="200"/>
      <c r="D33" s="200"/>
      <c r="E33" s="200"/>
      <c r="F33" s="200"/>
      <c r="G33" s="201"/>
      <c r="H33" s="206" t="s">
        <v>18</v>
      </c>
      <c r="I33" s="206"/>
      <c r="J33" s="206"/>
      <c r="K33" s="206"/>
      <c r="L33" s="206"/>
      <c r="M33" s="206"/>
      <c r="N33" s="206"/>
      <c r="O33" s="206"/>
      <c r="P33" s="203"/>
      <c r="Q33" s="204"/>
      <c r="R33" s="204"/>
      <c r="S33" s="204"/>
      <c r="T33" s="205"/>
      <c r="U33" s="1"/>
    </row>
    <row r="34" spans="1:21" ht="15" customHeight="1" x14ac:dyDescent="0.25">
      <c r="B34" s="195" t="s">
        <v>19</v>
      </c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6"/>
    </row>
    <row r="35" spans="1:21" x14ac:dyDescent="0.25">
      <c r="A35" s="17"/>
      <c r="B35" s="197"/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8"/>
    </row>
    <row r="37" spans="1:21" x14ac:dyDescent="0.25">
      <c r="A37" t="s">
        <v>20</v>
      </c>
    </row>
  </sheetData>
  <mergeCells count="89">
    <mergeCell ref="B31:H31"/>
    <mergeCell ref="I31:K31"/>
    <mergeCell ref="M31:Q31"/>
    <mergeCell ref="R31:T31"/>
    <mergeCell ref="B34:U35"/>
    <mergeCell ref="B32:E32"/>
    <mergeCell ref="F32:O32"/>
    <mergeCell ref="P32:T32"/>
    <mergeCell ref="B33:G33"/>
    <mergeCell ref="H33:O33"/>
    <mergeCell ref="P33:T33"/>
    <mergeCell ref="B29:H29"/>
    <mergeCell ref="I29:K29"/>
    <mergeCell ref="M29:Q29"/>
    <mergeCell ref="R29:T29"/>
    <mergeCell ref="B30:H30"/>
    <mergeCell ref="I30:K30"/>
    <mergeCell ref="M30:Q30"/>
    <mergeCell ref="R30:T30"/>
    <mergeCell ref="B27:H27"/>
    <mergeCell ref="I27:K27"/>
    <mergeCell ref="M27:Q27"/>
    <mergeCell ref="R27:T27"/>
    <mergeCell ref="B28:H28"/>
    <mergeCell ref="I28:K28"/>
    <mergeCell ref="M28:Q28"/>
    <mergeCell ref="R28:T28"/>
    <mergeCell ref="B25:H25"/>
    <mergeCell ref="I25:K25"/>
    <mergeCell ref="M25:Q25"/>
    <mergeCell ref="R25:T25"/>
    <mergeCell ref="B26:H26"/>
    <mergeCell ref="I26:K26"/>
    <mergeCell ref="M26:Q26"/>
    <mergeCell ref="R26:T26"/>
    <mergeCell ref="B23:H23"/>
    <mergeCell ref="I23:K23"/>
    <mergeCell ref="M23:Q23"/>
    <mergeCell ref="R23:T23"/>
    <mergeCell ref="B24:H24"/>
    <mergeCell ref="I24:K24"/>
    <mergeCell ref="M24:Q24"/>
    <mergeCell ref="R24:T24"/>
    <mergeCell ref="B21:H21"/>
    <mergeCell ref="I21:K21"/>
    <mergeCell ref="M21:Q21"/>
    <mergeCell ref="R21:T21"/>
    <mergeCell ref="B22:H22"/>
    <mergeCell ref="I22:K22"/>
    <mergeCell ref="M22:Q22"/>
    <mergeCell ref="R22:T22"/>
    <mergeCell ref="B19:H19"/>
    <mergeCell ref="I19:K19"/>
    <mergeCell ref="M19:Q19"/>
    <mergeCell ref="R19:T19"/>
    <mergeCell ref="B20:H20"/>
    <mergeCell ref="I20:K20"/>
    <mergeCell ref="M20:Q20"/>
    <mergeCell ref="R20:T20"/>
    <mergeCell ref="B14:I14"/>
    <mergeCell ref="K14:S14"/>
    <mergeCell ref="B15:I15"/>
    <mergeCell ref="B16:I16"/>
    <mergeCell ref="B18:H18"/>
    <mergeCell ref="I18:K18"/>
    <mergeCell ref="M18:Q18"/>
    <mergeCell ref="R18:T18"/>
    <mergeCell ref="B13:I13"/>
    <mergeCell ref="K13:S13"/>
    <mergeCell ref="B7:I7"/>
    <mergeCell ref="B8:I8"/>
    <mergeCell ref="B9:I9"/>
    <mergeCell ref="K9:S9"/>
    <mergeCell ref="B10:I10"/>
    <mergeCell ref="K10:S10"/>
    <mergeCell ref="B11:F11"/>
    <mergeCell ref="G11:I11"/>
    <mergeCell ref="K11:S11"/>
    <mergeCell ref="B12:I12"/>
    <mergeCell ref="K12:S12"/>
    <mergeCell ref="A5:C5"/>
    <mergeCell ref="D5:K5"/>
    <mergeCell ref="L5:P5"/>
    <mergeCell ref="Q5:U5"/>
    <mergeCell ref="A1:C3"/>
    <mergeCell ref="D1:U1"/>
    <mergeCell ref="D2:U2"/>
    <mergeCell ref="D3:U4"/>
    <mergeCell ref="A4:C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6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3E8B7-1300-44AF-8622-B4DF2C9CFB70}">
  <sheetPr>
    <tabColor theme="0"/>
    <pageSetUpPr fitToPage="1"/>
  </sheetPr>
  <dimension ref="A1:U38"/>
  <sheetViews>
    <sheetView view="pageBreakPreview" topLeftCell="A9" zoomScale="90" zoomScaleNormal="100" zoomScaleSheetLayoutView="90" workbookViewId="0">
      <selection activeCell="K14" sqref="K14:S14"/>
    </sheetView>
  </sheetViews>
  <sheetFormatPr baseColWidth="10" defaultColWidth="10.7109375" defaultRowHeight="15" x14ac:dyDescent="0.25"/>
  <cols>
    <col min="1" max="1" width="2" customWidth="1"/>
    <col min="2" max="2" width="6.28515625" customWidth="1"/>
    <col min="3" max="3" width="5.7109375" customWidth="1"/>
    <col min="4" max="4" width="11.85546875" customWidth="1"/>
    <col min="5" max="5" width="3.5703125" customWidth="1"/>
    <col min="6" max="6" width="2.85546875" customWidth="1"/>
    <col min="7" max="7" width="3.28515625" customWidth="1"/>
    <col min="8" max="8" width="25.7109375" customWidth="1"/>
    <col min="9" max="9" width="5.85546875" style="20" customWidth="1"/>
    <col min="10" max="10" width="4.85546875" style="20" customWidth="1"/>
    <col min="11" max="11" width="2.5703125" style="20" customWidth="1"/>
    <col min="12" max="12" width="14" style="19" customWidth="1"/>
    <col min="13" max="13" width="1.85546875" customWidth="1"/>
    <col min="14" max="14" width="2.28515625" customWidth="1"/>
    <col min="15" max="15" width="1.85546875" customWidth="1"/>
    <col min="16" max="16" width="2.7109375" customWidth="1"/>
    <col min="17" max="18" width="3.85546875" customWidth="1"/>
    <col min="19" max="19" width="4" customWidth="1"/>
    <col min="20" max="20" width="3.28515625" customWidth="1"/>
    <col min="21" max="21" width="1.7109375" customWidth="1"/>
  </cols>
  <sheetData>
    <row r="1" spans="1:21" x14ac:dyDescent="0.25">
      <c r="A1" s="263"/>
      <c r="B1" s="263"/>
      <c r="C1" s="263"/>
      <c r="D1" s="264" t="s">
        <v>0</v>
      </c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</row>
    <row r="2" spans="1:21" x14ac:dyDescent="0.25">
      <c r="A2" s="263"/>
      <c r="B2" s="263"/>
      <c r="C2" s="263"/>
      <c r="D2" s="264" t="s">
        <v>1</v>
      </c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</row>
    <row r="3" spans="1:21" x14ac:dyDescent="0.25">
      <c r="A3" s="263"/>
      <c r="B3" s="263"/>
      <c r="C3" s="263"/>
      <c r="D3" s="264" t="s">
        <v>2</v>
      </c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4"/>
    </row>
    <row r="4" spans="1:21" x14ac:dyDescent="0.25">
      <c r="A4" s="265" t="s">
        <v>3</v>
      </c>
      <c r="B4" s="265"/>
      <c r="C4" s="265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4"/>
    </row>
    <row r="5" spans="1:21" ht="21" customHeight="1" x14ac:dyDescent="0.25">
      <c r="A5" s="242"/>
      <c r="B5" s="243"/>
      <c r="C5" s="244"/>
      <c r="D5" s="245" t="s">
        <v>4</v>
      </c>
      <c r="E5" s="246"/>
      <c r="F5" s="246"/>
      <c r="G5" s="246"/>
      <c r="H5" s="246"/>
      <c r="I5" s="246"/>
      <c r="J5" s="246"/>
      <c r="K5" s="246"/>
      <c r="L5" s="247" t="s">
        <v>5</v>
      </c>
      <c r="M5" s="247"/>
      <c r="N5" s="247"/>
      <c r="O5" s="247"/>
      <c r="P5" s="247"/>
      <c r="Q5" s="248" t="s">
        <v>21</v>
      </c>
      <c r="R5" s="248"/>
      <c r="S5" s="248"/>
      <c r="T5" s="248"/>
      <c r="U5" s="249"/>
    </row>
    <row r="6" spans="1:21" x14ac:dyDescent="0.25">
      <c r="A6" s="14"/>
      <c r="B6" s="15"/>
      <c r="C6" s="15"/>
      <c r="U6" s="1"/>
    </row>
    <row r="7" spans="1:21" x14ac:dyDescent="0.25">
      <c r="A7" s="16"/>
      <c r="B7" s="250" t="s">
        <v>6</v>
      </c>
      <c r="C7" s="251"/>
      <c r="D7" s="251"/>
      <c r="E7" s="251"/>
      <c r="F7" s="251"/>
      <c r="G7" s="251"/>
      <c r="H7" s="251"/>
      <c r="I7" s="252"/>
      <c r="J7" s="22"/>
      <c r="K7" s="22"/>
      <c r="U7" s="1"/>
    </row>
    <row r="8" spans="1:21" x14ac:dyDescent="0.25">
      <c r="A8" s="16"/>
      <c r="B8" s="253" t="s">
        <v>7</v>
      </c>
      <c r="C8" s="253"/>
      <c r="D8" s="253"/>
      <c r="E8" s="253"/>
      <c r="F8" s="253"/>
      <c r="G8" s="253"/>
      <c r="H8" s="253"/>
      <c r="I8" s="253"/>
      <c r="J8" s="23"/>
      <c r="K8" s="23"/>
      <c r="L8" s="25"/>
      <c r="M8" s="3"/>
      <c r="N8" s="3"/>
      <c r="O8" s="3"/>
      <c r="P8" s="3"/>
      <c r="Q8" s="3"/>
      <c r="R8" s="3"/>
      <c r="S8" s="3"/>
      <c r="T8" s="3"/>
      <c r="U8" s="4"/>
    </row>
    <row r="9" spans="1:21" x14ac:dyDescent="0.25">
      <c r="A9" s="16"/>
      <c r="B9" s="253" t="s">
        <v>8</v>
      </c>
      <c r="C9" s="253"/>
      <c r="D9" s="253"/>
      <c r="E9" s="253"/>
      <c r="F9" s="253"/>
      <c r="G9" s="253"/>
      <c r="H9" s="253"/>
      <c r="I9" s="253"/>
      <c r="J9" s="23"/>
      <c r="K9" s="254" t="s">
        <v>9</v>
      </c>
      <c r="L9" s="254"/>
      <c r="M9" s="254"/>
      <c r="N9" s="254"/>
      <c r="O9" s="254"/>
      <c r="P9" s="254"/>
      <c r="Q9" s="254"/>
      <c r="R9" s="254"/>
      <c r="S9" s="254"/>
      <c r="T9" s="3"/>
      <c r="U9" s="4"/>
    </row>
    <row r="10" spans="1:21" x14ac:dyDescent="0.25">
      <c r="A10" s="16"/>
      <c r="B10" s="253" t="s">
        <v>10</v>
      </c>
      <c r="C10" s="253"/>
      <c r="D10" s="253"/>
      <c r="E10" s="253"/>
      <c r="F10" s="253"/>
      <c r="G10" s="253"/>
      <c r="H10" s="253"/>
      <c r="I10" s="253"/>
      <c r="J10" s="22"/>
      <c r="K10" s="255" t="s">
        <v>11</v>
      </c>
      <c r="L10" s="255"/>
      <c r="M10" s="255"/>
      <c r="N10" s="255"/>
      <c r="O10" s="255"/>
      <c r="P10" s="255"/>
      <c r="Q10" s="255"/>
      <c r="R10" s="255"/>
      <c r="S10" s="255"/>
      <c r="T10" s="2"/>
      <c r="U10" s="1"/>
    </row>
    <row r="11" spans="1:21" ht="35.25" customHeight="1" x14ac:dyDescent="0.25">
      <c r="A11" s="5"/>
      <c r="B11" s="256" t="s">
        <v>170</v>
      </c>
      <c r="C11" s="257"/>
      <c r="D11" s="257"/>
      <c r="E11" s="257"/>
      <c r="F11" s="258"/>
      <c r="G11" s="239" t="s">
        <v>314</v>
      </c>
      <c r="H11" s="237"/>
      <c r="I11" s="238"/>
      <c r="J11" s="23"/>
      <c r="K11" s="260" t="s">
        <v>28</v>
      </c>
      <c r="L11" s="261"/>
      <c r="M11" s="261"/>
      <c r="N11" s="261"/>
      <c r="O11" s="261"/>
      <c r="P11" s="261"/>
      <c r="Q11" s="261"/>
      <c r="R11" s="261"/>
      <c r="S11" s="262"/>
      <c r="T11" s="12"/>
      <c r="U11" s="6"/>
    </row>
    <row r="12" spans="1:21" ht="15" customHeight="1" x14ac:dyDescent="0.25">
      <c r="A12" s="5"/>
      <c r="B12" s="239" t="s">
        <v>22</v>
      </c>
      <c r="C12" s="240"/>
      <c r="D12" s="240"/>
      <c r="E12" s="240"/>
      <c r="F12" s="240"/>
      <c r="G12" s="240"/>
      <c r="H12" s="240"/>
      <c r="I12" s="241"/>
      <c r="J12" s="23"/>
      <c r="K12" s="225" t="s">
        <v>25</v>
      </c>
      <c r="L12" s="226"/>
      <c r="M12" s="226"/>
      <c r="N12" s="226"/>
      <c r="O12" s="226"/>
      <c r="P12" s="226"/>
      <c r="Q12" s="226"/>
      <c r="R12" s="226"/>
      <c r="S12" s="227"/>
      <c r="T12" s="12"/>
      <c r="U12" s="6"/>
    </row>
    <row r="13" spans="1:21" x14ac:dyDescent="0.25">
      <c r="A13" s="5"/>
      <c r="B13" s="236" t="s">
        <v>27</v>
      </c>
      <c r="C13" s="237"/>
      <c r="D13" s="237"/>
      <c r="E13" s="237"/>
      <c r="F13" s="237"/>
      <c r="G13" s="237"/>
      <c r="H13" s="237"/>
      <c r="I13" s="238"/>
      <c r="J13" s="24"/>
      <c r="K13" s="225" t="s">
        <v>249</v>
      </c>
      <c r="L13" s="226"/>
      <c r="M13" s="226"/>
      <c r="N13" s="226"/>
      <c r="O13" s="226"/>
      <c r="P13" s="226"/>
      <c r="Q13" s="226"/>
      <c r="R13" s="226"/>
      <c r="S13" s="227"/>
      <c r="T13" s="3"/>
      <c r="U13" s="4"/>
    </row>
    <row r="14" spans="1:21" ht="30" customHeight="1" x14ac:dyDescent="0.25">
      <c r="A14" s="5"/>
      <c r="B14" s="222" t="s">
        <v>26</v>
      </c>
      <c r="C14" s="223"/>
      <c r="D14" s="223"/>
      <c r="E14" s="223"/>
      <c r="F14" s="223"/>
      <c r="G14" s="223"/>
      <c r="H14" s="223"/>
      <c r="I14" s="224"/>
      <c r="J14" s="21"/>
      <c r="K14" s="225" t="s">
        <v>181</v>
      </c>
      <c r="L14" s="226"/>
      <c r="M14" s="226"/>
      <c r="N14" s="226"/>
      <c r="O14" s="226"/>
      <c r="P14" s="226"/>
      <c r="Q14" s="226"/>
      <c r="R14" s="226"/>
      <c r="S14" s="227"/>
      <c r="T14" s="7"/>
      <c r="U14" s="8"/>
    </row>
    <row r="15" spans="1:21" ht="15" customHeight="1" x14ac:dyDescent="0.25">
      <c r="A15" s="5"/>
      <c r="B15" s="228" t="s">
        <v>23</v>
      </c>
      <c r="C15" s="229"/>
      <c r="D15" s="229"/>
      <c r="E15" s="229"/>
      <c r="F15" s="229"/>
      <c r="G15" s="229"/>
      <c r="H15" s="229"/>
      <c r="I15" s="230"/>
      <c r="J15" s="21"/>
      <c r="K15" s="23"/>
      <c r="L15" s="25"/>
      <c r="M15" s="13"/>
      <c r="N15" s="13"/>
      <c r="O15" s="13"/>
      <c r="P15" s="13"/>
      <c r="Q15" s="13"/>
      <c r="R15" s="13"/>
      <c r="S15" s="13"/>
      <c r="T15" s="7"/>
      <c r="U15" s="8"/>
    </row>
    <row r="16" spans="1:21" x14ac:dyDescent="0.25">
      <c r="A16" s="9"/>
      <c r="B16" s="231" t="s">
        <v>24</v>
      </c>
      <c r="C16" s="232"/>
      <c r="D16" s="232"/>
      <c r="E16" s="232"/>
      <c r="F16" s="232"/>
      <c r="G16" s="232"/>
      <c r="H16" s="232"/>
      <c r="I16" s="233"/>
      <c r="J16" s="22"/>
      <c r="K16" s="22"/>
      <c r="L16" s="26"/>
      <c r="M16" s="2"/>
      <c r="N16" s="10"/>
      <c r="O16" s="10"/>
      <c r="P16" s="10"/>
      <c r="Q16" s="10"/>
      <c r="R16" s="10"/>
      <c r="S16" s="10"/>
      <c r="T16" s="2"/>
      <c r="U16" s="1"/>
    </row>
    <row r="17" spans="1:21" x14ac:dyDescent="0.25">
      <c r="A17" s="16"/>
      <c r="B17" s="11"/>
      <c r="C17" s="11"/>
      <c r="D17" s="11"/>
      <c r="E17" s="11"/>
      <c r="F17" s="11"/>
      <c r="G17" s="7"/>
      <c r="H17" s="7"/>
      <c r="I17" s="21"/>
      <c r="J17" s="22"/>
      <c r="K17" s="22"/>
      <c r="L17" s="26"/>
      <c r="M17" s="2"/>
      <c r="N17" s="10"/>
      <c r="O17" s="10"/>
      <c r="P17" s="10"/>
      <c r="Q17" s="10"/>
      <c r="R17" s="10"/>
      <c r="S17" s="10"/>
      <c r="T17" s="2"/>
      <c r="U17" s="1"/>
    </row>
    <row r="18" spans="1:21" x14ac:dyDescent="0.25">
      <c r="A18" s="16"/>
      <c r="B18" s="234" t="s">
        <v>12</v>
      </c>
      <c r="C18" s="234"/>
      <c r="D18" s="234"/>
      <c r="E18" s="234"/>
      <c r="F18" s="234"/>
      <c r="G18" s="234"/>
      <c r="H18" s="234"/>
      <c r="I18" s="235" t="s">
        <v>13</v>
      </c>
      <c r="J18" s="235"/>
      <c r="K18" s="235"/>
      <c r="L18" s="18" t="s">
        <v>14</v>
      </c>
      <c r="M18" s="194" t="s">
        <v>15</v>
      </c>
      <c r="N18" s="194"/>
      <c r="O18" s="194"/>
      <c r="P18" s="194"/>
      <c r="Q18" s="194"/>
      <c r="R18" s="194" t="s">
        <v>16</v>
      </c>
      <c r="S18" s="194"/>
      <c r="T18" s="194"/>
      <c r="U18" s="1"/>
    </row>
    <row r="19" spans="1:21" s="31" customFormat="1" ht="27" customHeight="1" x14ac:dyDescent="0.25">
      <c r="A19" s="28"/>
      <c r="B19" s="306" t="s">
        <v>88</v>
      </c>
      <c r="C19" s="307"/>
      <c r="D19" s="307"/>
      <c r="E19" s="307"/>
      <c r="F19" s="307"/>
      <c r="G19" s="307"/>
      <c r="H19" s="308"/>
      <c r="I19" s="211">
        <v>1</v>
      </c>
      <c r="J19" s="212"/>
      <c r="K19" s="213"/>
      <c r="L19" s="29" t="s">
        <v>29</v>
      </c>
      <c r="M19" s="214"/>
      <c r="N19" s="214"/>
      <c r="O19" s="214"/>
      <c r="P19" s="214"/>
      <c r="Q19" s="214"/>
      <c r="R19" s="214"/>
      <c r="S19" s="214"/>
      <c r="T19" s="214"/>
      <c r="U19" s="30"/>
    </row>
    <row r="20" spans="1:21" s="34" customFormat="1" ht="26.25" customHeight="1" x14ac:dyDescent="0.25">
      <c r="A20" s="69"/>
      <c r="B20" s="306" t="s">
        <v>127</v>
      </c>
      <c r="C20" s="307"/>
      <c r="D20" s="307"/>
      <c r="E20" s="307"/>
      <c r="F20" s="307"/>
      <c r="G20" s="307"/>
      <c r="H20" s="308"/>
      <c r="I20" s="211">
        <v>40</v>
      </c>
      <c r="J20" s="212"/>
      <c r="K20" s="213"/>
      <c r="L20" s="29" t="s">
        <v>29</v>
      </c>
      <c r="M20" s="214"/>
      <c r="N20" s="214"/>
      <c r="O20" s="214"/>
      <c r="P20" s="214"/>
      <c r="Q20" s="214"/>
      <c r="R20" s="214"/>
      <c r="S20" s="214"/>
      <c r="T20" s="214"/>
      <c r="U20" s="70"/>
    </row>
    <row r="21" spans="1:21" s="34" customFormat="1" ht="24" customHeight="1" x14ac:dyDescent="0.25">
      <c r="A21" s="69"/>
      <c r="B21" s="210" t="s">
        <v>273</v>
      </c>
      <c r="C21" s="210"/>
      <c r="D21" s="210"/>
      <c r="E21" s="210"/>
      <c r="F21" s="210"/>
      <c r="G21" s="210"/>
      <c r="H21" s="210"/>
      <c r="I21" s="211">
        <v>1</v>
      </c>
      <c r="J21" s="212"/>
      <c r="K21" s="213"/>
      <c r="L21" s="29" t="s">
        <v>29</v>
      </c>
      <c r="M21" s="214"/>
      <c r="N21" s="214"/>
      <c r="O21" s="214"/>
      <c r="P21" s="214"/>
      <c r="Q21" s="214"/>
      <c r="R21" s="214"/>
      <c r="S21" s="214"/>
      <c r="T21" s="214"/>
      <c r="U21" s="70"/>
    </row>
    <row r="22" spans="1:21" ht="19.5" customHeight="1" x14ac:dyDescent="0.25">
      <c r="A22" s="16"/>
      <c r="B22" s="190"/>
      <c r="C22" s="190"/>
      <c r="D22" s="190"/>
      <c r="E22" s="190"/>
      <c r="F22" s="190"/>
      <c r="G22" s="190"/>
      <c r="H22" s="190"/>
      <c r="I22" s="191"/>
      <c r="J22" s="192"/>
      <c r="K22" s="193"/>
      <c r="L22" s="27"/>
      <c r="M22" s="194"/>
      <c r="N22" s="194"/>
      <c r="O22" s="194"/>
      <c r="P22" s="194"/>
      <c r="Q22" s="194"/>
      <c r="R22" s="194"/>
      <c r="S22" s="194"/>
      <c r="T22" s="194"/>
      <c r="U22" s="1"/>
    </row>
    <row r="23" spans="1:21" ht="19.5" customHeight="1" x14ac:dyDescent="0.25">
      <c r="A23" s="16"/>
      <c r="B23" s="190"/>
      <c r="C23" s="190"/>
      <c r="D23" s="190"/>
      <c r="E23" s="190"/>
      <c r="F23" s="190"/>
      <c r="G23" s="190"/>
      <c r="H23" s="190"/>
      <c r="I23" s="191"/>
      <c r="J23" s="192"/>
      <c r="K23" s="193"/>
      <c r="L23" s="27"/>
      <c r="M23" s="194"/>
      <c r="N23" s="194"/>
      <c r="O23" s="194"/>
      <c r="P23" s="194"/>
      <c r="Q23" s="194"/>
      <c r="R23" s="194"/>
      <c r="S23" s="194"/>
      <c r="T23" s="194"/>
      <c r="U23" s="1"/>
    </row>
    <row r="24" spans="1:21" ht="19.5" customHeight="1" x14ac:dyDescent="0.25">
      <c r="A24" s="16"/>
      <c r="B24" s="190"/>
      <c r="C24" s="190"/>
      <c r="D24" s="190"/>
      <c r="E24" s="190"/>
      <c r="F24" s="190"/>
      <c r="G24" s="190"/>
      <c r="H24" s="190"/>
      <c r="I24" s="191"/>
      <c r="J24" s="192"/>
      <c r="K24" s="193"/>
      <c r="L24" s="27"/>
      <c r="M24" s="194"/>
      <c r="N24" s="194"/>
      <c r="O24" s="194"/>
      <c r="P24" s="194"/>
      <c r="Q24" s="194"/>
      <c r="R24" s="194"/>
      <c r="S24" s="194"/>
      <c r="T24" s="194"/>
      <c r="U24" s="1"/>
    </row>
    <row r="25" spans="1:21" ht="19.5" customHeight="1" x14ac:dyDescent="0.25">
      <c r="A25" s="16"/>
      <c r="B25" s="190"/>
      <c r="C25" s="190"/>
      <c r="D25" s="190"/>
      <c r="E25" s="190"/>
      <c r="F25" s="190"/>
      <c r="G25" s="190"/>
      <c r="H25" s="190"/>
      <c r="I25" s="191"/>
      <c r="J25" s="192"/>
      <c r="K25" s="193"/>
      <c r="L25" s="27"/>
      <c r="M25" s="194"/>
      <c r="N25" s="194"/>
      <c r="O25" s="194"/>
      <c r="P25" s="194"/>
      <c r="Q25" s="194"/>
      <c r="R25" s="194"/>
      <c r="S25" s="194"/>
      <c r="T25" s="194"/>
      <c r="U25" s="1"/>
    </row>
    <row r="26" spans="1:21" ht="19.5" customHeight="1" x14ac:dyDescent="0.25">
      <c r="A26" s="16"/>
      <c r="B26" s="190"/>
      <c r="C26" s="190"/>
      <c r="D26" s="190"/>
      <c r="E26" s="190"/>
      <c r="F26" s="190"/>
      <c r="G26" s="190"/>
      <c r="H26" s="190"/>
      <c r="I26" s="191"/>
      <c r="J26" s="192"/>
      <c r="K26" s="193"/>
      <c r="L26" s="27"/>
      <c r="M26" s="194"/>
      <c r="N26" s="194"/>
      <c r="O26" s="194"/>
      <c r="P26" s="194"/>
      <c r="Q26" s="194"/>
      <c r="R26" s="194"/>
      <c r="S26" s="194"/>
      <c r="T26" s="194"/>
      <c r="U26" s="1"/>
    </row>
    <row r="27" spans="1:21" ht="19.5" customHeight="1" x14ac:dyDescent="0.25">
      <c r="A27" s="16"/>
      <c r="B27" s="190"/>
      <c r="C27" s="190"/>
      <c r="D27" s="190"/>
      <c r="E27" s="190"/>
      <c r="F27" s="190"/>
      <c r="G27" s="190"/>
      <c r="H27" s="190"/>
      <c r="I27" s="191"/>
      <c r="J27" s="192"/>
      <c r="K27" s="193"/>
      <c r="L27" s="27"/>
      <c r="M27" s="194"/>
      <c r="N27" s="194"/>
      <c r="O27" s="194"/>
      <c r="P27" s="194"/>
      <c r="Q27" s="194"/>
      <c r="R27" s="194"/>
      <c r="S27" s="194"/>
      <c r="T27" s="194"/>
      <c r="U27" s="1"/>
    </row>
    <row r="28" spans="1:21" ht="19.5" customHeight="1" x14ac:dyDescent="0.25">
      <c r="A28" s="16"/>
      <c r="B28" s="190"/>
      <c r="C28" s="190"/>
      <c r="D28" s="190"/>
      <c r="E28" s="190"/>
      <c r="F28" s="190"/>
      <c r="G28" s="190"/>
      <c r="H28" s="190"/>
      <c r="I28" s="191"/>
      <c r="J28" s="192"/>
      <c r="K28" s="193"/>
      <c r="L28" s="27"/>
      <c r="M28" s="194"/>
      <c r="N28" s="194"/>
      <c r="O28" s="194"/>
      <c r="P28" s="194"/>
      <c r="Q28" s="194"/>
      <c r="R28" s="194"/>
      <c r="S28" s="194"/>
      <c r="T28" s="194"/>
      <c r="U28" s="1"/>
    </row>
    <row r="29" spans="1:21" ht="18.75" customHeight="1" x14ac:dyDescent="0.25">
      <c r="A29" s="16"/>
      <c r="B29" s="190"/>
      <c r="C29" s="190"/>
      <c r="D29" s="190"/>
      <c r="E29" s="190"/>
      <c r="F29" s="190"/>
      <c r="G29" s="190"/>
      <c r="H29" s="190"/>
      <c r="I29" s="191"/>
      <c r="J29" s="192"/>
      <c r="K29" s="193"/>
      <c r="L29" s="27"/>
      <c r="M29" s="194"/>
      <c r="N29" s="194"/>
      <c r="O29" s="194"/>
      <c r="P29" s="194"/>
      <c r="Q29" s="194"/>
      <c r="R29" s="194"/>
      <c r="S29" s="194"/>
      <c r="T29" s="194"/>
      <c r="U29" s="1"/>
    </row>
    <row r="30" spans="1:21" ht="19.5" customHeight="1" x14ac:dyDescent="0.25">
      <c r="A30" s="16"/>
      <c r="B30" s="207"/>
      <c r="C30" s="208"/>
      <c r="D30" s="208"/>
      <c r="E30" s="208"/>
      <c r="F30" s="208"/>
      <c r="G30" s="208"/>
      <c r="H30" s="208"/>
      <c r="I30" s="202"/>
      <c r="J30" s="202"/>
      <c r="K30" s="202"/>
      <c r="L30" s="32"/>
      <c r="M30" s="194"/>
      <c r="N30" s="194"/>
      <c r="O30" s="194"/>
      <c r="P30" s="194"/>
      <c r="Q30" s="194"/>
      <c r="R30" s="194"/>
      <c r="S30" s="194"/>
      <c r="T30" s="194"/>
      <c r="U30" s="1"/>
    </row>
    <row r="31" spans="1:21" ht="19.5" customHeight="1" x14ac:dyDescent="0.25">
      <c r="A31" s="16"/>
      <c r="B31" s="207"/>
      <c r="C31" s="208"/>
      <c r="D31" s="208"/>
      <c r="E31" s="208"/>
      <c r="F31" s="208"/>
      <c r="G31" s="208"/>
      <c r="H31" s="208"/>
      <c r="I31" s="209"/>
      <c r="J31" s="209"/>
      <c r="K31" s="209"/>
      <c r="L31" s="32"/>
      <c r="M31" s="194"/>
      <c r="N31" s="194"/>
      <c r="O31" s="194"/>
      <c r="P31" s="194"/>
      <c r="Q31" s="194"/>
      <c r="R31" s="194"/>
      <c r="S31" s="194"/>
      <c r="T31" s="194"/>
      <c r="U31" s="1"/>
    </row>
    <row r="32" spans="1:21" ht="19.5" customHeight="1" x14ac:dyDescent="0.25">
      <c r="A32" s="16"/>
      <c r="B32" s="190"/>
      <c r="C32" s="190"/>
      <c r="D32" s="190"/>
      <c r="E32" s="190"/>
      <c r="F32" s="190"/>
      <c r="G32" s="190"/>
      <c r="H32" s="190"/>
      <c r="I32" s="191"/>
      <c r="J32" s="192"/>
      <c r="K32" s="193"/>
      <c r="L32" s="27"/>
      <c r="M32" s="194"/>
      <c r="N32" s="194"/>
      <c r="O32" s="194"/>
      <c r="P32" s="194"/>
      <c r="Q32" s="194"/>
      <c r="R32" s="194"/>
      <c r="S32" s="194"/>
      <c r="T32" s="194"/>
      <c r="U32" s="1"/>
    </row>
    <row r="33" spans="1:21" ht="47.25" customHeight="1" x14ac:dyDescent="0.25">
      <c r="A33" s="16"/>
      <c r="B33" s="199"/>
      <c r="C33" s="200"/>
      <c r="D33" s="200"/>
      <c r="E33" s="201"/>
      <c r="F33" s="202" t="s">
        <v>17</v>
      </c>
      <c r="G33" s="202"/>
      <c r="H33" s="202"/>
      <c r="I33" s="202"/>
      <c r="J33" s="202"/>
      <c r="K33" s="202"/>
      <c r="L33" s="202"/>
      <c r="M33" s="202"/>
      <c r="N33" s="202"/>
      <c r="O33" s="202"/>
      <c r="P33" s="203"/>
      <c r="Q33" s="204"/>
      <c r="R33" s="204"/>
      <c r="S33" s="204"/>
      <c r="T33" s="205"/>
      <c r="U33" s="1"/>
    </row>
    <row r="34" spans="1:21" ht="13.5" customHeight="1" x14ac:dyDescent="0.25">
      <c r="A34" s="16"/>
      <c r="B34" s="199"/>
      <c r="C34" s="200"/>
      <c r="D34" s="200"/>
      <c r="E34" s="200"/>
      <c r="F34" s="200"/>
      <c r="G34" s="201"/>
      <c r="H34" s="206" t="s">
        <v>18</v>
      </c>
      <c r="I34" s="206"/>
      <c r="J34" s="206"/>
      <c r="K34" s="206"/>
      <c r="L34" s="206"/>
      <c r="M34" s="206"/>
      <c r="N34" s="206"/>
      <c r="O34" s="206"/>
      <c r="P34" s="203"/>
      <c r="Q34" s="204"/>
      <c r="R34" s="204"/>
      <c r="S34" s="204"/>
      <c r="T34" s="205"/>
      <c r="U34" s="1"/>
    </row>
    <row r="35" spans="1:21" ht="15" customHeight="1" x14ac:dyDescent="0.25">
      <c r="B35" s="195" t="s">
        <v>19</v>
      </c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6"/>
    </row>
    <row r="36" spans="1:21" x14ac:dyDescent="0.25">
      <c r="A36" s="17"/>
      <c r="B36" s="197"/>
      <c r="C36" s="197"/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8"/>
    </row>
    <row r="38" spans="1:21" x14ac:dyDescent="0.25">
      <c r="A38" t="s">
        <v>20</v>
      </c>
    </row>
  </sheetData>
  <mergeCells count="93">
    <mergeCell ref="A5:C5"/>
    <mergeCell ref="D5:K5"/>
    <mergeCell ref="L5:P5"/>
    <mergeCell ref="Q5:U5"/>
    <mergeCell ref="A1:C3"/>
    <mergeCell ref="D1:U1"/>
    <mergeCell ref="D2:U2"/>
    <mergeCell ref="D3:U4"/>
    <mergeCell ref="A4:C4"/>
    <mergeCell ref="B13:I13"/>
    <mergeCell ref="K13:S13"/>
    <mergeCell ref="B7:I7"/>
    <mergeCell ref="B8:I8"/>
    <mergeCell ref="B9:I9"/>
    <mergeCell ref="K9:S9"/>
    <mergeCell ref="B10:I10"/>
    <mergeCell ref="K10:S10"/>
    <mergeCell ref="B11:F11"/>
    <mergeCell ref="G11:I11"/>
    <mergeCell ref="K11:S11"/>
    <mergeCell ref="B12:I12"/>
    <mergeCell ref="K12:S12"/>
    <mergeCell ref="B19:H19"/>
    <mergeCell ref="I19:K19"/>
    <mergeCell ref="M19:Q19"/>
    <mergeCell ref="R19:T19"/>
    <mergeCell ref="B14:I14"/>
    <mergeCell ref="K14:S14"/>
    <mergeCell ref="B15:I15"/>
    <mergeCell ref="B16:I16"/>
    <mergeCell ref="B18:H18"/>
    <mergeCell ref="I18:K18"/>
    <mergeCell ref="M18:Q18"/>
    <mergeCell ref="R18:T18"/>
    <mergeCell ref="B21:H21"/>
    <mergeCell ref="I21:K21"/>
    <mergeCell ref="M21:Q21"/>
    <mergeCell ref="R21:T21"/>
    <mergeCell ref="B20:H20"/>
    <mergeCell ref="I20:K20"/>
    <mergeCell ref="M20:Q20"/>
    <mergeCell ref="R20:T20"/>
    <mergeCell ref="B22:H22"/>
    <mergeCell ref="I22:K22"/>
    <mergeCell ref="M22:Q22"/>
    <mergeCell ref="R22:T22"/>
    <mergeCell ref="B28:H28"/>
    <mergeCell ref="I28:K28"/>
    <mergeCell ref="M28:Q28"/>
    <mergeCell ref="R28:T28"/>
    <mergeCell ref="I25:K25"/>
    <mergeCell ref="M25:Q25"/>
    <mergeCell ref="B23:H23"/>
    <mergeCell ref="I23:K23"/>
    <mergeCell ref="M23:Q23"/>
    <mergeCell ref="R23:T23"/>
    <mergeCell ref="B24:H24"/>
    <mergeCell ref="I24:K24"/>
    <mergeCell ref="I32:K32"/>
    <mergeCell ref="M32:Q32"/>
    <mergeCell ref="R32:T32"/>
    <mergeCell ref="B29:H29"/>
    <mergeCell ref="I29:K29"/>
    <mergeCell ref="M29:Q29"/>
    <mergeCell ref="R29:T29"/>
    <mergeCell ref="B30:H30"/>
    <mergeCell ref="I30:K30"/>
    <mergeCell ref="M30:Q30"/>
    <mergeCell ref="R30:T30"/>
    <mergeCell ref="B31:H31"/>
    <mergeCell ref="I31:K31"/>
    <mergeCell ref="M31:Q31"/>
    <mergeCell ref="R31:T31"/>
    <mergeCell ref="B32:H32"/>
    <mergeCell ref="M24:Q24"/>
    <mergeCell ref="R24:T24"/>
    <mergeCell ref="B27:H27"/>
    <mergeCell ref="I27:K27"/>
    <mergeCell ref="M27:Q27"/>
    <mergeCell ref="R27:T27"/>
    <mergeCell ref="R25:T25"/>
    <mergeCell ref="B26:H26"/>
    <mergeCell ref="I26:K26"/>
    <mergeCell ref="M26:Q26"/>
    <mergeCell ref="R26:T26"/>
    <mergeCell ref="B25:H25"/>
    <mergeCell ref="B35:U36"/>
    <mergeCell ref="B33:E33"/>
    <mergeCell ref="F33:O33"/>
    <mergeCell ref="P33:T33"/>
    <mergeCell ref="B34:G34"/>
    <mergeCell ref="H34:O34"/>
    <mergeCell ref="P34:T3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6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0CC9-0100-446C-ABC3-8F0C798B9B6E}">
  <sheetPr>
    <tabColor theme="0"/>
    <pageSetUpPr fitToPage="1"/>
  </sheetPr>
  <dimension ref="A1:U37"/>
  <sheetViews>
    <sheetView view="pageBreakPreview" topLeftCell="A11" zoomScale="90" zoomScaleNormal="100" zoomScaleSheetLayoutView="90" workbookViewId="0">
      <selection activeCell="K14" sqref="K14:S14"/>
    </sheetView>
  </sheetViews>
  <sheetFormatPr baseColWidth="10" defaultColWidth="10.7109375" defaultRowHeight="15" x14ac:dyDescent="0.25"/>
  <cols>
    <col min="1" max="1" width="2" customWidth="1"/>
    <col min="2" max="2" width="6.28515625" customWidth="1"/>
    <col min="3" max="3" width="5.7109375" customWidth="1"/>
    <col min="4" max="4" width="11.85546875" customWidth="1"/>
    <col min="5" max="5" width="3.5703125" customWidth="1"/>
    <col min="6" max="6" width="2.85546875" customWidth="1"/>
    <col min="7" max="7" width="3.28515625" customWidth="1"/>
    <col min="8" max="8" width="25.7109375" customWidth="1"/>
    <col min="9" max="9" width="5.85546875" style="20" customWidth="1"/>
    <col min="10" max="10" width="4.85546875" style="20" customWidth="1"/>
    <col min="11" max="11" width="2.5703125" style="20" customWidth="1"/>
    <col min="12" max="12" width="14" style="19" customWidth="1"/>
    <col min="13" max="13" width="1.85546875" customWidth="1"/>
    <col min="14" max="14" width="2.28515625" customWidth="1"/>
    <col min="15" max="15" width="1.85546875" customWidth="1"/>
    <col min="16" max="16" width="2.7109375" customWidth="1"/>
    <col min="17" max="18" width="3.85546875" customWidth="1"/>
    <col min="19" max="19" width="4" customWidth="1"/>
    <col min="20" max="20" width="3.28515625" customWidth="1"/>
    <col min="21" max="21" width="1.7109375" customWidth="1"/>
  </cols>
  <sheetData>
    <row r="1" spans="1:21" x14ac:dyDescent="0.25">
      <c r="A1" s="263"/>
      <c r="B1" s="263"/>
      <c r="C1" s="263"/>
      <c r="D1" s="264" t="s">
        <v>0</v>
      </c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</row>
    <row r="2" spans="1:21" x14ac:dyDescent="0.25">
      <c r="A2" s="263"/>
      <c r="B2" s="263"/>
      <c r="C2" s="263"/>
      <c r="D2" s="264" t="s">
        <v>1</v>
      </c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</row>
    <row r="3" spans="1:21" x14ac:dyDescent="0.25">
      <c r="A3" s="263"/>
      <c r="B3" s="263"/>
      <c r="C3" s="263"/>
      <c r="D3" s="264" t="s">
        <v>2</v>
      </c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4"/>
    </row>
    <row r="4" spans="1:21" x14ac:dyDescent="0.25">
      <c r="A4" s="265" t="s">
        <v>3</v>
      </c>
      <c r="B4" s="265"/>
      <c r="C4" s="265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4"/>
    </row>
    <row r="5" spans="1:21" ht="21" customHeight="1" x14ac:dyDescent="0.25">
      <c r="A5" s="242"/>
      <c r="B5" s="243"/>
      <c r="C5" s="244"/>
      <c r="D5" s="245" t="s">
        <v>4</v>
      </c>
      <c r="E5" s="246"/>
      <c r="F5" s="246"/>
      <c r="G5" s="246"/>
      <c r="H5" s="246"/>
      <c r="I5" s="246"/>
      <c r="J5" s="246"/>
      <c r="K5" s="246"/>
      <c r="L5" s="247" t="s">
        <v>5</v>
      </c>
      <c r="M5" s="247"/>
      <c r="N5" s="247"/>
      <c r="O5" s="247"/>
      <c r="P5" s="247"/>
      <c r="Q5" s="248" t="s">
        <v>21</v>
      </c>
      <c r="R5" s="248"/>
      <c r="S5" s="248"/>
      <c r="T5" s="248"/>
      <c r="U5" s="249"/>
    </row>
    <row r="6" spans="1:21" x14ac:dyDescent="0.25">
      <c r="A6" s="14"/>
      <c r="B6" s="15"/>
      <c r="C6" s="15"/>
      <c r="U6" s="1"/>
    </row>
    <row r="7" spans="1:21" x14ac:dyDescent="0.25">
      <c r="A7" s="16"/>
      <c r="B7" s="250" t="s">
        <v>6</v>
      </c>
      <c r="C7" s="251"/>
      <c r="D7" s="251"/>
      <c r="E7" s="251"/>
      <c r="F7" s="251"/>
      <c r="G7" s="251"/>
      <c r="H7" s="251"/>
      <c r="I7" s="252"/>
      <c r="J7" s="22"/>
      <c r="K7" s="22"/>
      <c r="U7" s="1"/>
    </row>
    <row r="8" spans="1:21" x14ac:dyDescent="0.25">
      <c r="A8" s="16"/>
      <c r="B8" s="253" t="s">
        <v>7</v>
      </c>
      <c r="C8" s="253"/>
      <c r="D8" s="253"/>
      <c r="E8" s="253"/>
      <c r="F8" s="253"/>
      <c r="G8" s="253"/>
      <c r="H8" s="253"/>
      <c r="I8" s="253"/>
      <c r="J8" s="23"/>
      <c r="K8" s="23"/>
      <c r="L8" s="25"/>
      <c r="M8" s="3"/>
      <c r="N8" s="3"/>
      <c r="O8" s="3"/>
      <c r="P8" s="3"/>
      <c r="Q8" s="3"/>
      <c r="R8" s="3"/>
      <c r="S8" s="3"/>
      <c r="T8" s="3"/>
      <c r="U8" s="4"/>
    </row>
    <row r="9" spans="1:21" x14ac:dyDescent="0.25">
      <c r="A9" s="16"/>
      <c r="B9" s="253" t="s">
        <v>8</v>
      </c>
      <c r="C9" s="253"/>
      <c r="D9" s="253"/>
      <c r="E9" s="253"/>
      <c r="F9" s="253"/>
      <c r="G9" s="253"/>
      <c r="H9" s="253"/>
      <c r="I9" s="253"/>
      <c r="J9" s="23"/>
      <c r="K9" s="254" t="s">
        <v>9</v>
      </c>
      <c r="L9" s="254"/>
      <c r="M9" s="254"/>
      <c r="N9" s="254"/>
      <c r="O9" s="254"/>
      <c r="P9" s="254"/>
      <c r="Q9" s="254"/>
      <c r="R9" s="254"/>
      <c r="S9" s="254"/>
      <c r="T9" s="3"/>
      <c r="U9" s="4"/>
    </row>
    <row r="10" spans="1:21" x14ac:dyDescent="0.25">
      <c r="A10" s="16"/>
      <c r="B10" s="253" t="s">
        <v>10</v>
      </c>
      <c r="C10" s="253"/>
      <c r="D10" s="253"/>
      <c r="E10" s="253"/>
      <c r="F10" s="253"/>
      <c r="G10" s="253"/>
      <c r="H10" s="253"/>
      <c r="I10" s="253"/>
      <c r="J10" s="22"/>
      <c r="K10" s="255" t="s">
        <v>11</v>
      </c>
      <c r="L10" s="255"/>
      <c r="M10" s="255"/>
      <c r="N10" s="255"/>
      <c r="O10" s="255"/>
      <c r="P10" s="255"/>
      <c r="Q10" s="255"/>
      <c r="R10" s="255"/>
      <c r="S10" s="255"/>
      <c r="T10" s="2"/>
      <c r="U10" s="1"/>
    </row>
    <row r="11" spans="1:21" ht="35.25" customHeight="1" x14ac:dyDescent="0.25">
      <c r="A11" s="5"/>
      <c r="B11" s="256" t="s">
        <v>170</v>
      </c>
      <c r="C11" s="257"/>
      <c r="D11" s="257"/>
      <c r="E11" s="257"/>
      <c r="F11" s="258"/>
      <c r="G11" s="239" t="s">
        <v>182</v>
      </c>
      <c r="H11" s="237"/>
      <c r="I11" s="238"/>
      <c r="J11" s="23"/>
      <c r="K11" s="260" t="s">
        <v>28</v>
      </c>
      <c r="L11" s="261"/>
      <c r="M11" s="261"/>
      <c r="N11" s="261"/>
      <c r="O11" s="261"/>
      <c r="P11" s="261"/>
      <c r="Q11" s="261"/>
      <c r="R11" s="261"/>
      <c r="S11" s="262"/>
      <c r="T11" s="12"/>
      <c r="U11" s="6"/>
    </row>
    <row r="12" spans="1:21" ht="15" customHeight="1" x14ac:dyDescent="0.25">
      <c r="A12" s="5"/>
      <c r="B12" s="239" t="s">
        <v>22</v>
      </c>
      <c r="C12" s="240"/>
      <c r="D12" s="240"/>
      <c r="E12" s="240"/>
      <c r="F12" s="240"/>
      <c r="G12" s="240"/>
      <c r="H12" s="240"/>
      <c r="I12" s="241"/>
      <c r="J12" s="23"/>
      <c r="K12" s="225" t="s">
        <v>25</v>
      </c>
      <c r="L12" s="226"/>
      <c r="M12" s="226"/>
      <c r="N12" s="226"/>
      <c r="O12" s="226"/>
      <c r="P12" s="226"/>
      <c r="Q12" s="226"/>
      <c r="R12" s="226"/>
      <c r="S12" s="227"/>
      <c r="T12" s="12"/>
      <c r="U12" s="6"/>
    </row>
    <row r="13" spans="1:21" x14ac:dyDescent="0.25">
      <c r="A13" s="5"/>
      <c r="B13" s="236" t="s">
        <v>27</v>
      </c>
      <c r="C13" s="237"/>
      <c r="D13" s="237"/>
      <c r="E13" s="237"/>
      <c r="F13" s="237"/>
      <c r="G13" s="237"/>
      <c r="H13" s="237"/>
      <c r="I13" s="238"/>
      <c r="J13" s="24"/>
      <c r="K13" s="225" t="s">
        <v>31</v>
      </c>
      <c r="L13" s="226"/>
      <c r="M13" s="226"/>
      <c r="N13" s="226"/>
      <c r="O13" s="226"/>
      <c r="P13" s="226"/>
      <c r="Q13" s="226"/>
      <c r="R13" s="226"/>
      <c r="S13" s="227"/>
      <c r="T13" s="3"/>
      <c r="U13" s="4"/>
    </row>
    <row r="14" spans="1:21" ht="30" customHeight="1" x14ac:dyDescent="0.25">
      <c r="A14" s="5"/>
      <c r="B14" s="222" t="s">
        <v>26</v>
      </c>
      <c r="C14" s="223"/>
      <c r="D14" s="223"/>
      <c r="E14" s="223"/>
      <c r="F14" s="223"/>
      <c r="G14" s="223"/>
      <c r="H14" s="223"/>
      <c r="I14" s="224"/>
      <c r="J14" s="21"/>
      <c r="K14" s="225" t="s">
        <v>183</v>
      </c>
      <c r="L14" s="226"/>
      <c r="M14" s="226"/>
      <c r="N14" s="226"/>
      <c r="O14" s="226"/>
      <c r="P14" s="226"/>
      <c r="Q14" s="226"/>
      <c r="R14" s="226"/>
      <c r="S14" s="227"/>
      <c r="T14" s="7"/>
      <c r="U14" s="8"/>
    </row>
    <row r="15" spans="1:21" ht="15" customHeight="1" x14ac:dyDescent="0.25">
      <c r="A15" s="5"/>
      <c r="B15" s="228" t="s">
        <v>23</v>
      </c>
      <c r="C15" s="229"/>
      <c r="D15" s="229"/>
      <c r="E15" s="229"/>
      <c r="F15" s="229"/>
      <c r="G15" s="229"/>
      <c r="H15" s="229"/>
      <c r="I15" s="230"/>
      <c r="J15" s="21"/>
      <c r="K15" s="23"/>
      <c r="L15" s="25"/>
      <c r="M15" s="13"/>
      <c r="N15" s="13"/>
      <c r="O15" s="13"/>
      <c r="P15" s="13"/>
      <c r="Q15" s="13"/>
      <c r="R15" s="13"/>
      <c r="S15" s="13"/>
      <c r="T15" s="7"/>
      <c r="U15" s="8"/>
    </row>
    <row r="16" spans="1:21" x14ac:dyDescent="0.25">
      <c r="A16" s="9"/>
      <c r="B16" s="231" t="s">
        <v>24</v>
      </c>
      <c r="C16" s="232"/>
      <c r="D16" s="232"/>
      <c r="E16" s="232"/>
      <c r="F16" s="232"/>
      <c r="G16" s="232"/>
      <c r="H16" s="232"/>
      <c r="I16" s="233"/>
      <c r="J16" s="22"/>
      <c r="K16" s="22"/>
      <c r="L16" s="26"/>
      <c r="M16" s="2"/>
      <c r="N16" s="10"/>
      <c r="O16" s="10"/>
      <c r="P16" s="10"/>
      <c r="Q16" s="10"/>
      <c r="R16" s="10"/>
      <c r="S16" s="10"/>
      <c r="T16" s="2"/>
      <c r="U16" s="1"/>
    </row>
    <row r="17" spans="1:21" x14ac:dyDescent="0.25">
      <c r="A17" s="16"/>
      <c r="B17" s="11"/>
      <c r="C17" s="11"/>
      <c r="D17" s="11"/>
      <c r="E17" s="11"/>
      <c r="F17" s="11"/>
      <c r="G17" s="7"/>
      <c r="H17" s="7"/>
      <c r="I17" s="21"/>
      <c r="J17" s="22"/>
      <c r="K17" s="22"/>
      <c r="L17" s="26"/>
      <c r="M17" s="2"/>
      <c r="N17" s="10"/>
      <c r="O17" s="10"/>
      <c r="P17" s="10"/>
      <c r="Q17" s="10"/>
      <c r="R17" s="10"/>
      <c r="S17" s="10"/>
      <c r="T17" s="2"/>
      <c r="U17" s="1"/>
    </row>
    <row r="18" spans="1:21" x14ac:dyDescent="0.25">
      <c r="A18" s="16"/>
      <c r="B18" s="234" t="s">
        <v>12</v>
      </c>
      <c r="C18" s="234"/>
      <c r="D18" s="234"/>
      <c r="E18" s="234"/>
      <c r="F18" s="234"/>
      <c r="G18" s="234"/>
      <c r="H18" s="234"/>
      <c r="I18" s="235" t="s">
        <v>13</v>
      </c>
      <c r="J18" s="235"/>
      <c r="K18" s="235"/>
      <c r="L18" s="18" t="s">
        <v>14</v>
      </c>
      <c r="M18" s="194" t="s">
        <v>15</v>
      </c>
      <c r="N18" s="194"/>
      <c r="O18" s="194"/>
      <c r="P18" s="194"/>
      <c r="Q18" s="194"/>
      <c r="R18" s="194" t="s">
        <v>16</v>
      </c>
      <c r="S18" s="194"/>
      <c r="T18" s="194"/>
      <c r="U18" s="1"/>
    </row>
    <row r="19" spans="1:21" s="19" customFormat="1" ht="27" customHeight="1" x14ac:dyDescent="0.25">
      <c r="A19" s="117"/>
      <c r="B19" s="317" t="s">
        <v>126</v>
      </c>
      <c r="C19" s="317"/>
      <c r="D19" s="317"/>
      <c r="E19" s="317"/>
      <c r="F19" s="317"/>
      <c r="G19" s="317"/>
      <c r="H19" s="317"/>
      <c r="I19" s="191">
        <v>10</v>
      </c>
      <c r="J19" s="192"/>
      <c r="K19" s="193"/>
      <c r="L19" s="118" t="s">
        <v>29</v>
      </c>
      <c r="M19" s="194"/>
      <c r="N19" s="194"/>
      <c r="O19" s="194"/>
      <c r="P19" s="194"/>
      <c r="Q19" s="194"/>
      <c r="R19" s="194"/>
      <c r="S19" s="194"/>
      <c r="T19" s="194"/>
      <c r="U19" s="119"/>
    </row>
    <row r="20" spans="1:21" s="34" customFormat="1" ht="19.5" customHeight="1" x14ac:dyDescent="0.25">
      <c r="A20" s="69"/>
      <c r="B20" s="210" t="s">
        <v>56</v>
      </c>
      <c r="C20" s="210"/>
      <c r="D20" s="210"/>
      <c r="E20" s="210"/>
      <c r="F20" s="210"/>
      <c r="G20" s="210"/>
      <c r="H20" s="210"/>
      <c r="I20" s="211">
        <v>24</v>
      </c>
      <c r="J20" s="212"/>
      <c r="K20" s="213"/>
      <c r="L20" s="29" t="s">
        <v>14</v>
      </c>
      <c r="M20" s="214"/>
      <c r="N20" s="214"/>
      <c r="O20" s="214"/>
      <c r="P20" s="214"/>
      <c r="Q20" s="214"/>
      <c r="R20" s="214"/>
      <c r="S20" s="214"/>
      <c r="T20" s="214"/>
      <c r="U20" s="70"/>
    </row>
    <row r="21" spans="1:21" ht="28.5" customHeight="1" x14ac:dyDescent="0.25">
      <c r="A21" s="16"/>
      <c r="B21" s="190" t="s">
        <v>120</v>
      </c>
      <c r="C21" s="190"/>
      <c r="D21" s="190"/>
      <c r="E21" s="190"/>
      <c r="F21" s="190"/>
      <c r="G21" s="190"/>
      <c r="H21" s="190"/>
      <c r="I21" s="191">
        <v>30</v>
      </c>
      <c r="J21" s="192"/>
      <c r="K21" s="193"/>
      <c r="L21" s="27" t="s">
        <v>29</v>
      </c>
      <c r="M21" s="194"/>
      <c r="N21" s="194"/>
      <c r="O21" s="194"/>
      <c r="P21" s="194"/>
      <c r="Q21" s="194"/>
      <c r="R21" s="194"/>
      <c r="S21" s="194"/>
      <c r="T21" s="194"/>
      <c r="U21" s="1"/>
    </row>
    <row r="22" spans="1:21" ht="19.5" customHeight="1" x14ac:dyDescent="0.25">
      <c r="A22" s="16"/>
      <c r="B22" s="218" t="s">
        <v>67</v>
      </c>
      <c r="C22" s="219"/>
      <c r="D22" s="219"/>
      <c r="E22" s="219"/>
      <c r="F22" s="219"/>
      <c r="G22" s="219"/>
      <c r="H22" s="220"/>
      <c r="I22" s="221">
        <v>15</v>
      </c>
      <c r="J22" s="212"/>
      <c r="K22" s="213"/>
      <c r="L22" s="29" t="s">
        <v>29</v>
      </c>
      <c r="M22" s="194"/>
      <c r="N22" s="194"/>
      <c r="O22" s="194"/>
      <c r="P22" s="194"/>
      <c r="Q22" s="194"/>
      <c r="R22" s="194"/>
      <c r="S22" s="194"/>
      <c r="T22" s="194"/>
      <c r="U22" s="1"/>
    </row>
    <row r="23" spans="1:21" ht="19.5" customHeight="1" x14ac:dyDescent="0.25">
      <c r="A23" s="16"/>
      <c r="B23" s="210" t="s">
        <v>68</v>
      </c>
      <c r="C23" s="210"/>
      <c r="D23" s="210"/>
      <c r="E23" s="210"/>
      <c r="F23" s="210"/>
      <c r="G23" s="210"/>
      <c r="H23" s="210"/>
      <c r="I23" s="211">
        <v>15</v>
      </c>
      <c r="J23" s="212"/>
      <c r="K23" s="213"/>
      <c r="L23" s="29" t="s">
        <v>29</v>
      </c>
      <c r="M23" s="194"/>
      <c r="N23" s="194"/>
      <c r="O23" s="194"/>
      <c r="P23" s="194"/>
      <c r="Q23" s="194"/>
      <c r="R23" s="194"/>
      <c r="S23" s="194"/>
      <c r="T23" s="194"/>
      <c r="U23" s="1"/>
    </row>
    <row r="24" spans="1:21" ht="19.5" customHeight="1" x14ac:dyDescent="0.25">
      <c r="A24" s="16"/>
      <c r="B24" s="210" t="s">
        <v>77</v>
      </c>
      <c r="C24" s="210"/>
      <c r="D24" s="210"/>
      <c r="E24" s="210"/>
      <c r="F24" s="210"/>
      <c r="G24" s="210"/>
      <c r="H24" s="210"/>
      <c r="I24" s="211">
        <v>36</v>
      </c>
      <c r="J24" s="212"/>
      <c r="K24" s="213"/>
      <c r="L24" s="29" t="s">
        <v>14</v>
      </c>
      <c r="M24" s="194"/>
      <c r="N24" s="194"/>
      <c r="O24" s="194"/>
      <c r="P24" s="194"/>
      <c r="Q24" s="194"/>
      <c r="R24" s="194"/>
      <c r="S24" s="194"/>
      <c r="T24" s="194"/>
      <c r="U24" s="1"/>
    </row>
    <row r="25" spans="1:21" ht="19.5" customHeight="1" x14ac:dyDescent="0.25">
      <c r="A25" s="16"/>
      <c r="B25" s="190"/>
      <c r="C25" s="190"/>
      <c r="D25" s="190"/>
      <c r="E25" s="190"/>
      <c r="F25" s="190"/>
      <c r="G25" s="190"/>
      <c r="H25" s="190"/>
      <c r="I25" s="191"/>
      <c r="J25" s="192"/>
      <c r="K25" s="193"/>
      <c r="L25" s="27"/>
      <c r="M25" s="194"/>
      <c r="N25" s="194"/>
      <c r="O25" s="194"/>
      <c r="P25" s="194"/>
      <c r="Q25" s="194"/>
      <c r="R25" s="194"/>
      <c r="S25" s="194"/>
      <c r="T25" s="194"/>
      <c r="U25" s="1"/>
    </row>
    <row r="26" spans="1:21" ht="19.5" customHeight="1" x14ac:dyDescent="0.25">
      <c r="A26" s="16"/>
      <c r="B26" s="190"/>
      <c r="C26" s="190"/>
      <c r="D26" s="190"/>
      <c r="E26" s="190"/>
      <c r="F26" s="190"/>
      <c r="G26" s="190"/>
      <c r="H26" s="190"/>
      <c r="I26" s="191"/>
      <c r="J26" s="192"/>
      <c r="K26" s="193"/>
      <c r="L26" s="27"/>
      <c r="M26" s="194"/>
      <c r="N26" s="194"/>
      <c r="O26" s="194"/>
      <c r="P26" s="194"/>
      <c r="Q26" s="194"/>
      <c r="R26" s="194"/>
      <c r="S26" s="194"/>
      <c r="T26" s="194"/>
      <c r="U26" s="1"/>
    </row>
    <row r="27" spans="1:21" ht="19.5" customHeight="1" x14ac:dyDescent="0.25">
      <c r="A27" s="16"/>
      <c r="B27" s="190"/>
      <c r="C27" s="190"/>
      <c r="D27" s="190"/>
      <c r="E27" s="190"/>
      <c r="F27" s="190"/>
      <c r="G27" s="190"/>
      <c r="H27" s="190"/>
      <c r="I27" s="191"/>
      <c r="J27" s="192"/>
      <c r="K27" s="193"/>
      <c r="L27" s="27"/>
      <c r="M27" s="194"/>
      <c r="N27" s="194"/>
      <c r="O27" s="194"/>
      <c r="P27" s="194"/>
      <c r="Q27" s="194"/>
      <c r="R27" s="194"/>
      <c r="S27" s="194"/>
      <c r="T27" s="194"/>
      <c r="U27" s="1"/>
    </row>
    <row r="28" spans="1:21" ht="18.75" customHeight="1" x14ac:dyDescent="0.25">
      <c r="A28" s="16"/>
      <c r="B28" s="190"/>
      <c r="C28" s="190"/>
      <c r="D28" s="190"/>
      <c r="E28" s="190"/>
      <c r="F28" s="190"/>
      <c r="G28" s="190"/>
      <c r="H28" s="190"/>
      <c r="I28" s="191"/>
      <c r="J28" s="192"/>
      <c r="K28" s="193"/>
      <c r="L28" s="27"/>
      <c r="M28" s="194"/>
      <c r="N28" s="194"/>
      <c r="O28" s="194"/>
      <c r="P28" s="194"/>
      <c r="Q28" s="194"/>
      <c r="R28" s="194"/>
      <c r="S28" s="194"/>
      <c r="T28" s="194"/>
      <c r="U28" s="1"/>
    </row>
    <row r="29" spans="1:21" ht="19.5" customHeight="1" x14ac:dyDescent="0.25">
      <c r="A29" s="16"/>
      <c r="B29" s="207"/>
      <c r="C29" s="208"/>
      <c r="D29" s="208"/>
      <c r="E29" s="208"/>
      <c r="F29" s="208"/>
      <c r="G29" s="208"/>
      <c r="H29" s="208"/>
      <c r="I29" s="202"/>
      <c r="J29" s="202"/>
      <c r="K29" s="202"/>
      <c r="L29" s="32"/>
      <c r="M29" s="194"/>
      <c r="N29" s="194"/>
      <c r="O29" s="194"/>
      <c r="P29" s="194"/>
      <c r="Q29" s="194"/>
      <c r="R29" s="194"/>
      <c r="S29" s="194"/>
      <c r="T29" s="194"/>
      <c r="U29" s="1"/>
    </row>
    <row r="30" spans="1:21" ht="19.5" customHeight="1" x14ac:dyDescent="0.25">
      <c r="A30" s="16"/>
      <c r="B30" s="207"/>
      <c r="C30" s="208"/>
      <c r="D30" s="208"/>
      <c r="E30" s="208"/>
      <c r="F30" s="208"/>
      <c r="G30" s="208"/>
      <c r="H30" s="208"/>
      <c r="I30" s="209"/>
      <c r="J30" s="209"/>
      <c r="K30" s="209"/>
      <c r="L30" s="32"/>
      <c r="M30" s="194"/>
      <c r="N30" s="194"/>
      <c r="O30" s="194"/>
      <c r="P30" s="194"/>
      <c r="Q30" s="194"/>
      <c r="R30" s="194"/>
      <c r="S30" s="194"/>
      <c r="T30" s="194"/>
      <c r="U30" s="1"/>
    </row>
    <row r="31" spans="1:21" ht="19.5" customHeight="1" x14ac:dyDescent="0.25">
      <c r="A31" s="16"/>
      <c r="B31" s="190"/>
      <c r="C31" s="190"/>
      <c r="D31" s="190"/>
      <c r="E31" s="190"/>
      <c r="F31" s="190"/>
      <c r="G31" s="190"/>
      <c r="H31" s="190"/>
      <c r="I31" s="191"/>
      <c r="J31" s="192"/>
      <c r="K31" s="193"/>
      <c r="L31" s="27"/>
      <c r="M31" s="194"/>
      <c r="N31" s="194"/>
      <c r="O31" s="194"/>
      <c r="P31" s="194"/>
      <c r="Q31" s="194"/>
      <c r="R31" s="194"/>
      <c r="S31" s="194"/>
      <c r="T31" s="194"/>
      <c r="U31" s="1"/>
    </row>
    <row r="32" spans="1:21" ht="47.25" customHeight="1" x14ac:dyDescent="0.25">
      <c r="A32" s="16"/>
      <c r="B32" s="199"/>
      <c r="C32" s="200"/>
      <c r="D32" s="200"/>
      <c r="E32" s="201"/>
      <c r="F32" s="202" t="s">
        <v>17</v>
      </c>
      <c r="G32" s="202"/>
      <c r="H32" s="202"/>
      <c r="I32" s="202"/>
      <c r="J32" s="202"/>
      <c r="K32" s="202"/>
      <c r="L32" s="202"/>
      <c r="M32" s="202"/>
      <c r="N32" s="202"/>
      <c r="O32" s="202"/>
      <c r="P32" s="203"/>
      <c r="Q32" s="204"/>
      <c r="R32" s="204"/>
      <c r="S32" s="204"/>
      <c r="T32" s="205"/>
      <c r="U32" s="1"/>
    </row>
    <row r="33" spans="1:21" ht="13.5" customHeight="1" x14ac:dyDescent="0.25">
      <c r="A33" s="16"/>
      <c r="B33" s="199"/>
      <c r="C33" s="200"/>
      <c r="D33" s="200"/>
      <c r="E33" s="200"/>
      <c r="F33" s="200"/>
      <c r="G33" s="201"/>
      <c r="H33" s="206" t="s">
        <v>18</v>
      </c>
      <c r="I33" s="206"/>
      <c r="J33" s="206"/>
      <c r="K33" s="206"/>
      <c r="L33" s="206"/>
      <c r="M33" s="206"/>
      <c r="N33" s="206"/>
      <c r="O33" s="206"/>
      <c r="P33" s="203"/>
      <c r="Q33" s="204"/>
      <c r="R33" s="204"/>
      <c r="S33" s="204"/>
      <c r="T33" s="205"/>
      <c r="U33" s="1"/>
    </row>
    <row r="34" spans="1:21" ht="15" customHeight="1" x14ac:dyDescent="0.25">
      <c r="B34" s="195" t="s">
        <v>19</v>
      </c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6"/>
    </row>
    <row r="35" spans="1:21" x14ac:dyDescent="0.25">
      <c r="A35" s="17"/>
      <c r="B35" s="197"/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8"/>
    </row>
    <row r="37" spans="1:21" x14ac:dyDescent="0.25">
      <c r="A37" t="s">
        <v>20</v>
      </c>
    </row>
  </sheetData>
  <mergeCells count="89">
    <mergeCell ref="B34:U35"/>
    <mergeCell ref="B32:E32"/>
    <mergeCell ref="F32:O32"/>
    <mergeCell ref="P32:T32"/>
    <mergeCell ref="B33:G33"/>
    <mergeCell ref="H33:O33"/>
    <mergeCell ref="P33:T33"/>
    <mergeCell ref="B30:H30"/>
    <mergeCell ref="I30:K30"/>
    <mergeCell ref="M30:Q30"/>
    <mergeCell ref="R30:T30"/>
    <mergeCell ref="B31:H31"/>
    <mergeCell ref="I31:K31"/>
    <mergeCell ref="M31:Q31"/>
    <mergeCell ref="R31:T31"/>
    <mergeCell ref="B28:H28"/>
    <mergeCell ref="I28:K28"/>
    <mergeCell ref="M28:Q28"/>
    <mergeCell ref="R28:T28"/>
    <mergeCell ref="B29:H29"/>
    <mergeCell ref="I29:K29"/>
    <mergeCell ref="M29:Q29"/>
    <mergeCell ref="R29:T29"/>
    <mergeCell ref="B26:H26"/>
    <mergeCell ref="I26:K26"/>
    <mergeCell ref="M26:Q26"/>
    <mergeCell ref="R26:T26"/>
    <mergeCell ref="B27:H27"/>
    <mergeCell ref="I27:K27"/>
    <mergeCell ref="M27:Q27"/>
    <mergeCell ref="R27:T27"/>
    <mergeCell ref="B24:H24"/>
    <mergeCell ref="I24:K24"/>
    <mergeCell ref="M24:Q24"/>
    <mergeCell ref="R24:T24"/>
    <mergeCell ref="B25:H25"/>
    <mergeCell ref="I25:K25"/>
    <mergeCell ref="M25:Q25"/>
    <mergeCell ref="R25:T25"/>
    <mergeCell ref="B22:H22"/>
    <mergeCell ref="I22:K22"/>
    <mergeCell ref="M22:Q22"/>
    <mergeCell ref="R22:T22"/>
    <mergeCell ref="B23:H23"/>
    <mergeCell ref="I23:K23"/>
    <mergeCell ref="M23:Q23"/>
    <mergeCell ref="R23:T23"/>
    <mergeCell ref="B21:H21"/>
    <mergeCell ref="I21:K21"/>
    <mergeCell ref="M21:Q21"/>
    <mergeCell ref="R21:T21"/>
    <mergeCell ref="B19:H19"/>
    <mergeCell ref="I19:K19"/>
    <mergeCell ref="M19:Q19"/>
    <mergeCell ref="R19:T19"/>
    <mergeCell ref="B20:H20"/>
    <mergeCell ref="I20:K20"/>
    <mergeCell ref="M20:Q20"/>
    <mergeCell ref="R20:T20"/>
    <mergeCell ref="B14:I14"/>
    <mergeCell ref="K14:S14"/>
    <mergeCell ref="B15:I15"/>
    <mergeCell ref="B16:I16"/>
    <mergeCell ref="B18:H18"/>
    <mergeCell ref="I18:K18"/>
    <mergeCell ref="M18:Q18"/>
    <mergeCell ref="R18:T18"/>
    <mergeCell ref="B13:I13"/>
    <mergeCell ref="K13:S13"/>
    <mergeCell ref="B7:I7"/>
    <mergeCell ref="B8:I8"/>
    <mergeCell ref="B9:I9"/>
    <mergeCell ref="K9:S9"/>
    <mergeCell ref="B10:I10"/>
    <mergeCell ref="K10:S10"/>
    <mergeCell ref="B11:F11"/>
    <mergeCell ref="G11:I11"/>
    <mergeCell ref="K11:S11"/>
    <mergeCell ref="B12:I12"/>
    <mergeCell ref="K12:S12"/>
    <mergeCell ref="A5:C5"/>
    <mergeCell ref="D5:K5"/>
    <mergeCell ref="L5:P5"/>
    <mergeCell ref="Q5:U5"/>
    <mergeCell ref="A1:C3"/>
    <mergeCell ref="D1:U1"/>
    <mergeCell ref="D2:U2"/>
    <mergeCell ref="D3:U4"/>
    <mergeCell ref="A4:C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6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A45CC-6AA2-4E2A-A46B-F0CE48282044}">
  <sheetPr>
    <tabColor theme="0"/>
    <pageSetUpPr fitToPage="1"/>
  </sheetPr>
  <dimension ref="A1:U39"/>
  <sheetViews>
    <sheetView view="pageBreakPreview" topLeftCell="A21" zoomScale="90" zoomScaleNormal="100" zoomScaleSheetLayoutView="90" workbookViewId="0">
      <selection activeCell="K14" sqref="K14:S14"/>
    </sheetView>
  </sheetViews>
  <sheetFormatPr baseColWidth="10" defaultColWidth="10.7109375" defaultRowHeight="15" x14ac:dyDescent="0.25"/>
  <cols>
    <col min="1" max="1" width="2" customWidth="1"/>
    <col min="2" max="2" width="6.28515625" customWidth="1"/>
    <col min="3" max="3" width="5.7109375" customWidth="1"/>
    <col min="4" max="4" width="11.85546875" customWidth="1"/>
    <col min="5" max="5" width="3.5703125" customWidth="1"/>
    <col min="6" max="6" width="2.85546875" customWidth="1"/>
    <col min="7" max="7" width="3.28515625" customWidth="1"/>
    <col min="8" max="8" width="27.42578125" customWidth="1"/>
    <col min="9" max="9" width="5.85546875" style="20" customWidth="1"/>
    <col min="10" max="10" width="4.85546875" style="20" customWidth="1"/>
    <col min="11" max="11" width="2.5703125" style="20" customWidth="1"/>
    <col min="12" max="12" width="14" style="19" customWidth="1"/>
    <col min="13" max="13" width="1.85546875" customWidth="1"/>
    <col min="14" max="14" width="2.28515625" customWidth="1"/>
    <col min="15" max="15" width="1.85546875" customWidth="1"/>
    <col min="16" max="16" width="2.7109375" customWidth="1"/>
    <col min="17" max="18" width="3.85546875" customWidth="1"/>
    <col min="19" max="19" width="4" customWidth="1"/>
    <col min="20" max="20" width="3.28515625" customWidth="1"/>
    <col min="21" max="21" width="1.7109375" customWidth="1"/>
  </cols>
  <sheetData>
    <row r="1" spans="1:21" x14ac:dyDescent="0.25">
      <c r="A1" s="263"/>
      <c r="B1" s="263"/>
      <c r="C1" s="263"/>
      <c r="D1" s="264" t="s">
        <v>0</v>
      </c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</row>
    <row r="2" spans="1:21" x14ac:dyDescent="0.25">
      <c r="A2" s="263"/>
      <c r="B2" s="263"/>
      <c r="C2" s="263"/>
      <c r="D2" s="264" t="s">
        <v>1</v>
      </c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</row>
    <row r="3" spans="1:21" x14ac:dyDescent="0.25">
      <c r="A3" s="263"/>
      <c r="B3" s="263"/>
      <c r="C3" s="263"/>
      <c r="D3" s="264" t="s">
        <v>2</v>
      </c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4"/>
    </row>
    <row r="4" spans="1:21" x14ac:dyDescent="0.25">
      <c r="A4" s="265" t="s">
        <v>3</v>
      </c>
      <c r="B4" s="265"/>
      <c r="C4" s="265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4"/>
    </row>
    <row r="5" spans="1:21" ht="21" customHeight="1" x14ac:dyDescent="0.25">
      <c r="A5" s="242"/>
      <c r="B5" s="243"/>
      <c r="C5" s="244"/>
      <c r="D5" s="245" t="s">
        <v>4</v>
      </c>
      <c r="E5" s="246"/>
      <c r="F5" s="246"/>
      <c r="G5" s="246"/>
      <c r="H5" s="246"/>
      <c r="I5" s="246"/>
      <c r="J5" s="246"/>
      <c r="K5" s="246"/>
      <c r="L5" s="247" t="s">
        <v>5</v>
      </c>
      <c r="M5" s="247"/>
      <c r="N5" s="247"/>
      <c r="O5" s="247"/>
      <c r="P5" s="247"/>
      <c r="Q5" s="248" t="s">
        <v>21</v>
      </c>
      <c r="R5" s="248"/>
      <c r="S5" s="248"/>
      <c r="T5" s="248"/>
      <c r="U5" s="249"/>
    </row>
    <row r="6" spans="1:21" x14ac:dyDescent="0.25">
      <c r="A6" s="14"/>
      <c r="B6" s="15"/>
      <c r="C6" s="15"/>
      <c r="U6" s="1"/>
    </row>
    <row r="7" spans="1:21" x14ac:dyDescent="0.25">
      <c r="A7" s="16"/>
      <c r="B7" s="250" t="s">
        <v>6</v>
      </c>
      <c r="C7" s="251"/>
      <c r="D7" s="251"/>
      <c r="E7" s="251"/>
      <c r="F7" s="251"/>
      <c r="G7" s="251"/>
      <c r="H7" s="251"/>
      <c r="I7" s="252"/>
      <c r="J7" s="22"/>
      <c r="K7" s="22"/>
      <c r="U7" s="1"/>
    </row>
    <row r="8" spans="1:21" x14ac:dyDescent="0.25">
      <c r="A8" s="16"/>
      <c r="B8" s="253" t="s">
        <v>7</v>
      </c>
      <c r="C8" s="253"/>
      <c r="D8" s="253"/>
      <c r="E8" s="253"/>
      <c r="F8" s="253"/>
      <c r="G8" s="253"/>
      <c r="H8" s="253"/>
      <c r="I8" s="253"/>
      <c r="J8" s="23"/>
      <c r="K8" s="23"/>
      <c r="L8" s="25"/>
      <c r="M8" s="3"/>
      <c r="N8" s="3"/>
      <c r="O8" s="3"/>
      <c r="P8" s="3"/>
      <c r="Q8" s="3"/>
      <c r="R8" s="3"/>
      <c r="S8" s="3"/>
      <c r="T8" s="3"/>
      <c r="U8" s="4"/>
    </row>
    <row r="9" spans="1:21" x14ac:dyDescent="0.25">
      <c r="A9" s="16"/>
      <c r="B9" s="253" t="s">
        <v>8</v>
      </c>
      <c r="C9" s="253"/>
      <c r="D9" s="253"/>
      <c r="E9" s="253"/>
      <c r="F9" s="253"/>
      <c r="G9" s="253"/>
      <c r="H9" s="253"/>
      <c r="I9" s="253"/>
      <c r="J9" s="23"/>
      <c r="K9" s="254" t="s">
        <v>9</v>
      </c>
      <c r="L9" s="254"/>
      <c r="M9" s="254"/>
      <c r="N9" s="254"/>
      <c r="O9" s="254"/>
      <c r="P9" s="254"/>
      <c r="Q9" s="254"/>
      <c r="R9" s="254"/>
      <c r="S9" s="254"/>
      <c r="T9" s="3"/>
      <c r="U9" s="4"/>
    </row>
    <row r="10" spans="1:21" x14ac:dyDescent="0.25">
      <c r="A10" s="16"/>
      <c r="B10" s="253" t="s">
        <v>10</v>
      </c>
      <c r="C10" s="253"/>
      <c r="D10" s="253"/>
      <c r="E10" s="253"/>
      <c r="F10" s="253"/>
      <c r="G10" s="253"/>
      <c r="H10" s="253"/>
      <c r="I10" s="253"/>
      <c r="J10" s="22"/>
      <c r="K10" s="255" t="s">
        <v>11</v>
      </c>
      <c r="L10" s="255"/>
      <c r="M10" s="255"/>
      <c r="N10" s="255"/>
      <c r="O10" s="255"/>
      <c r="P10" s="255"/>
      <c r="Q10" s="255"/>
      <c r="R10" s="255"/>
      <c r="S10" s="255"/>
      <c r="T10" s="2"/>
      <c r="U10" s="1"/>
    </row>
    <row r="11" spans="1:21" ht="35.25" customHeight="1" x14ac:dyDescent="0.25">
      <c r="A11" s="5"/>
      <c r="B11" s="256" t="s">
        <v>170</v>
      </c>
      <c r="C11" s="257"/>
      <c r="D11" s="257"/>
      <c r="E11" s="257"/>
      <c r="F11" s="258"/>
      <c r="G11" s="239" t="s">
        <v>315</v>
      </c>
      <c r="H11" s="237"/>
      <c r="I11" s="238"/>
      <c r="J11" s="23"/>
      <c r="K11" s="260" t="s">
        <v>28</v>
      </c>
      <c r="L11" s="261"/>
      <c r="M11" s="261"/>
      <c r="N11" s="261"/>
      <c r="O11" s="261"/>
      <c r="P11" s="261"/>
      <c r="Q11" s="261"/>
      <c r="R11" s="261"/>
      <c r="S11" s="262"/>
      <c r="T11" s="12"/>
      <c r="U11" s="6"/>
    </row>
    <row r="12" spans="1:21" ht="15" customHeight="1" x14ac:dyDescent="0.25">
      <c r="A12" s="5"/>
      <c r="B12" s="239" t="s">
        <v>22</v>
      </c>
      <c r="C12" s="240"/>
      <c r="D12" s="240"/>
      <c r="E12" s="240"/>
      <c r="F12" s="240"/>
      <c r="G12" s="240"/>
      <c r="H12" s="240"/>
      <c r="I12" s="241"/>
      <c r="J12" s="23"/>
      <c r="K12" s="225" t="s">
        <v>25</v>
      </c>
      <c r="L12" s="226"/>
      <c r="M12" s="226"/>
      <c r="N12" s="226"/>
      <c r="O12" s="226"/>
      <c r="P12" s="226"/>
      <c r="Q12" s="226"/>
      <c r="R12" s="226"/>
      <c r="S12" s="227"/>
      <c r="T12" s="12"/>
      <c r="U12" s="6"/>
    </row>
    <row r="13" spans="1:21" x14ac:dyDescent="0.25">
      <c r="A13" s="5"/>
      <c r="B13" s="236" t="s">
        <v>27</v>
      </c>
      <c r="C13" s="237"/>
      <c r="D13" s="237"/>
      <c r="E13" s="237"/>
      <c r="F13" s="237"/>
      <c r="G13" s="237"/>
      <c r="H13" s="237"/>
      <c r="I13" s="238"/>
      <c r="J13" s="24"/>
      <c r="K13" s="225" t="s">
        <v>31</v>
      </c>
      <c r="L13" s="226"/>
      <c r="M13" s="226"/>
      <c r="N13" s="226"/>
      <c r="O13" s="226"/>
      <c r="P13" s="226"/>
      <c r="Q13" s="226"/>
      <c r="R13" s="226"/>
      <c r="S13" s="227"/>
      <c r="T13" s="3"/>
      <c r="U13" s="4"/>
    </row>
    <row r="14" spans="1:21" ht="30" customHeight="1" x14ac:dyDescent="0.25">
      <c r="A14" s="5"/>
      <c r="B14" s="222" t="s">
        <v>26</v>
      </c>
      <c r="C14" s="223"/>
      <c r="D14" s="223"/>
      <c r="E14" s="223"/>
      <c r="F14" s="223"/>
      <c r="G14" s="223"/>
      <c r="H14" s="223"/>
      <c r="I14" s="224"/>
      <c r="J14" s="21"/>
      <c r="K14" s="225" t="s">
        <v>184</v>
      </c>
      <c r="L14" s="226"/>
      <c r="M14" s="226"/>
      <c r="N14" s="226"/>
      <c r="O14" s="226"/>
      <c r="P14" s="226"/>
      <c r="Q14" s="226"/>
      <c r="R14" s="226"/>
      <c r="S14" s="227"/>
      <c r="T14" s="7"/>
      <c r="U14" s="8"/>
    </row>
    <row r="15" spans="1:21" ht="15" customHeight="1" x14ac:dyDescent="0.25">
      <c r="A15" s="5"/>
      <c r="B15" s="228" t="s">
        <v>23</v>
      </c>
      <c r="C15" s="229"/>
      <c r="D15" s="229"/>
      <c r="E15" s="229"/>
      <c r="F15" s="229"/>
      <c r="G15" s="229"/>
      <c r="H15" s="229"/>
      <c r="I15" s="230"/>
      <c r="J15" s="21"/>
      <c r="K15" s="23"/>
      <c r="L15" s="25"/>
      <c r="M15" s="13"/>
      <c r="N15" s="13"/>
      <c r="O15" s="13"/>
      <c r="P15" s="13"/>
      <c r="Q15" s="13"/>
      <c r="R15" s="13"/>
      <c r="S15" s="13"/>
      <c r="T15" s="7"/>
      <c r="U15" s="8"/>
    </row>
    <row r="16" spans="1:21" x14ac:dyDescent="0.25">
      <c r="A16" s="9"/>
      <c r="B16" s="231" t="s">
        <v>24</v>
      </c>
      <c r="C16" s="232"/>
      <c r="D16" s="232"/>
      <c r="E16" s="232"/>
      <c r="F16" s="232"/>
      <c r="G16" s="232"/>
      <c r="H16" s="232"/>
      <c r="I16" s="233"/>
      <c r="J16" s="22"/>
      <c r="K16" s="22"/>
      <c r="L16" s="26"/>
      <c r="M16" s="2"/>
      <c r="N16" s="10"/>
      <c r="O16" s="10"/>
      <c r="P16" s="10"/>
      <c r="Q16" s="10"/>
      <c r="R16" s="10"/>
      <c r="S16" s="10"/>
      <c r="T16" s="2"/>
      <c r="U16" s="1"/>
    </row>
    <row r="17" spans="1:21" x14ac:dyDescent="0.25">
      <c r="A17" s="16"/>
      <c r="B17" s="11"/>
      <c r="C17" s="11"/>
      <c r="D17" s="11"/>
      <c r="E17" s="11"/>
      <c r="F17" s="11"/>
      <c r="G17" s="7"/>
      <c r="H17" s="7"/>
      <c r="I17" s="21"/>
      <c r="J17" s="22"/>
      <c r="K17" s="22"/>
      <c r="L17" s="26"/>
      <c r="M17" s="2"/>
      <c r="N17" s="10"/>
      <c r="O17" s="10"/>
      <c r="P17" s="10"/>
      <c r="Q17" s="10"/>
      <c r="R17" s="10"/>
      <c r="S17" s="10"/>
      <c r="T17" s="2"/>
      <c r="U17" s="1"/>
    </row>
    <row r="18" spans="1:21" x14ac:dyDescent="0.25">
      <c r="A18" s="16"/>
      <c r="B18" s="234" t="s">
        <v>12</v>
      </c>
      <c r="C18" s="234"/>
      <c r="D18" s="234"/>
      <c r="E18" s="234"/>
      <c r="F18" s="234"/>
      <c r="G18" s="234"/>
      <c r="H18" s="234"/>
      <c r="I18" s="235" t="s">
        <v>13</v>
      </c>
      <c r="J18" s="235"/>
      <c r="K18" s="235"/>
      <c r="L18" s="18" t="s">
        <v>14</v>
      </c>
      <c r="M18" s="194" t="s">
        <v>15</v>
      </c>
      <c r="N18" s="194"/>
      <c r="O18" s="194"/>
      <c r="P18" s="194"/>
      <c r="Q18" s="194"/>
      <c r="R18" s="194" t="s">
        <v>16</v>
      </c>
      <c r="S18" s="194"/>
      <c r="T18" s="194"/>
      <c r="U18" s="1"/>
    </row>
    <row r="19" spans="1:21" s="31" customFormat="1" ht="27" customHeight="1" x14ac:dyDescent="0.25">
      <c r="A19" s="28"/>
      <c r="B19" s="306" t="s">
        <v>56</v>
      </c>
      <c r="C19" s="307"/>
      <c r="D19" s="307"/>
      <c r="E19" s="307"/>
      <c r="F19" s="307"/>
      <c r="G19" s="307"/>
      <c r="H19" s="308"/>
      <c r="I19" s="211">
        <v>50</v>
      </c>
      <c r="J19" s="212"/>
      <c r="K19" s="213"/>
      <c r="L19" s="29" t="s">
        <v>29</v>
      </c>
      <c r="M19" s="214"/>
      <c r="N19" s="214"/>
      <c r="O19" s="214"/>
      <c r="P19" s="214"/>
      <c r="Q19" s="214"/>
      <c r="R19" s="214"/>
      <c r="S19" s="214"/>
      <c r="T19" s="214"/>
      <c r="U19" s="30"/>
    </row>
    <row r="20" spans="1:21" s="34" customFormat="1" ht="19.5" customHeight="1" x14ac:dyDescent="0.2">
      <c r="A20" s="69"/>
      <c r="B20" s="190" t="s">
        <v>126</v>
      </c>
      <c r="C20" s="190"/>
      <c r="D20" s="190"/>
      <c r="E20" s="190"/>
      <c r="F20" s="190"/>
      <c r="G20" s="190"/>
      <c r="H20" s="190"/>
      <c r="I20" s="191">
        <v>10</v>
      </c>
      <c r="J20" s="192"/>
      <c r="K20" s="193"/>
      <c r="L20" s="27" t="s">
        <v>29</v>
      </c>
      <c r="M20" s="214"/>
      <c r="N20" s="214"/>
      <c r="O20" s="214"/>
      <c r="P20" s="214"/>
      <c r="Q20" s="214"/>
      <c r="R20" s="214"/>
      <c r="S20" s="214"/>
      <c r="T20" s="214"/>
      <c r="U20" s="70"/>
    </row>
    <row r="21" spans="1:21" ht="24.75" customHeight="1" x14ac:dyDescent="0.25">
      <c r="A21" s="16"/>
      <c r="B21" s="190" t="s">
        <v>317</v>
      </c>
      <c r="C21" s="190"/>
      <c r="D21" s="190"/>
      <c r="E21" s="190"/>
      <c r="F21" s="190"/>
      <c r="G21" s="190"/>
      <c r="H21" s="190"/>
      <c r="I21" s="191">
        <v>24</v>
      </c>
      <c r="J21" s="192"/>
      <c r="K21" s="193"/>
      <c r="L21" s="27" t="s">
        <v>29</v>
      </c>
      <c r="M21" s="194"/>
      <c r="N21" s="194"/>
      <c r="O21" s="194"/>
      <c r="P21" s="194"/>
      <c r="Q21" s="194"/>
      <c r="R21" s="194"/>
      <c r="S21" s="194"/>
      <c r="T21" s="194"/>
      <c r="U21" s="1"/>
    </row>
    <row r="22" spans="1:21" ht="19.5" customHeight="1" x14ac:dyDescent="0.25">
      <c r="A22" s="16"/>
      <c r="B22" s="190" t="s">
        <v>64</v>
      </c>
      <c r="C22" s="190"/>
      <c r="D22" s="190"/>
      <c r="E22" s="190"/>
      <c r="F22" s="190"/>
      <c r="G22" s="190"/>
      <c r="H22" s="190"/>
      <c r="I22" s="191">
        <v>2</v>
      </c>
      <c r="J22" s="192"/>
      <c r="K22" s="193"/>
      <c r="L22" s="27" t="s">
        <v>29</v>
      </c>
      <c r="M22" s="194"/>
      <c r="N22" s="194"/>
      <c r="O22" s="194"/>
      <c r="P22" s="194"/>
      <c r="Q22" s="194"/>
      <c r="R22" s="194"/>
      <c r="S22" s="194"/>
      <c r="T22" s="194"/>
      <c r="U22" s="1"/>
    </row>
    <row r="23" spans="1:21" ht="30" customHeight="1" x14ac:dyDescent="0.25">
      <c r="A23" s="16"/>
      <c r="B23" s="190" t="s">
        <v>268</v>
      </c>
      <c r="C23" s="190"/>
      <c r="D23" s="190"/>
      <c r="E23" s="190"/>
      <c r="F23" s="190"/>
      <c r="G23" s="190"/>
      <c r="H23" s="190"/>
      <c r="I23" s="191">
        <v>8</v>
      </c>
      <c r="J23" s="192"/>
      <c r="K23" s="193"/>
      <c r="L23" s="27" t="s">
        <v>29</v>
      </c>
      <c r="M23" s="194"/>
      <c r="N23" s="194"/>
      <c r="O23" s="194"/>
      <c r="P23" s="194"/>
      <c r="Q23" s="194"/>
      <c r="R23" s="194"/>
      <c r="S23" s="194"/>
      <c r="T23" s="194"/>
      <c r="U23" s="1"/>
    </row>
    <row r="24" spans="1:21" ht="30" customHeight="1" x14ac:dyDescent="0.25">
      <c r="A24" s="16"/>
      <c r="B24" s="190" t="s">
        <v>269</v>
      </c>
      <c r="C24" s="190"/>
      <c r="D24" s="190"/>
      <c r="E24" s="190"/>
      <c r="F24" s="190"/>
      <c r="G24" s="190"/>
      <c r="H24" s="190"/>
      <c r="I24" s="191">
        <v>15</v>
      </c>
      <c r="J24" s="192"/>
      <c r="K24" s="193"/>
      <c r="L24" s="27" t="s">
        <v>29</v>
      </c>
      <c r="M24" s="194"/>
      <c r="N24" s="194"/>
      <c r="O24" s="194"/>
      <c r="P24" s="194"/>
      <c r="Q24" s="194"/>
      <c r="R24" s="194"/>
      <c r="S24" s="194"/>
      <c r="T24" s="194"/>
      <c r="U24" s="1"/>
    </row>
    <row r="25" spans="1:21" ht="30" customHeight="1" x14ac:dyDescent="0.25">
      <c r="A25" s="16"/>
      <c r="B25" s="190" t="s">
        <v>270</v>
      </c>
      <c r="C25" s="190"/>
      <c r="D25" s="190"/>
      <c r="E25" s="190"/>
      <c r="F25" s="190"/>
      <c r="G25" s="190"/>
      <c r="H25" s="190"/>
      <c r="I25" s="191">
        <v>2</v>
      </c>
      <c r="J25" s="192"/>
      <c r="K25" s="193"/>
      <c r="L25" s="27" t="s">
        <v>29</v>
      </c>
      <c r="M25" s="194"/>
      <c r="N25" s="194"/>
      <c r="O25" s="194"/>
      <c r="P25" s="194"/>
      <c r="Q25" s="194"/>
      <c r="R25" s="194"/>
      <c r="S25" s="194"/>
      <c r="T25" s="194"/>
      <c r="U25" s="1"/>
    </row>
    <row r="26" spans="1:21" ht="30" customHeight="1" x14ac:dyDescent="0.25">
      <c r="A26" s="16"/>
      <c r="B26" s="190" t="s">
        <v>272</v>
      </c>
      <c r="C26" s="190"/>
      <c r="D26" s="190"/>
      <c r="E26" s="190"/>
      <c r="F26" s="190"/>
      <c r="G26" s="190"/>
      <c r="H26" s="190"/>
      <c r="I26" s="191">
        <v>1</v>
      </c>
      <c r="J26" s="192"/>
      <c r="K26" s="193"/>
      <c r="L26" s="27" t="s">
        <v>29</v>
      </c>
      <c r="M26" s="194"/>
      <c r="N26" s="194"/>
      <c r="O26" s="194"/>
      <c r="P26" s="194"/>
      <c r="Q26" s="194"/>
      <c r="R26" s="194"/>
      <c r="S26" s="194"/>
      <c r="T26" s="194"/>
      <c r="U26" s="1"/>
    </row>
    <row r="27" spans="1:21" ht="18.75" customHeight="1" x14ac:dyDescent="0.25">
      <c r="A27" s="16"/>
      <c r="B27" s="190" t="s">
        <v>58</v>
      </c>
      <c r="C27" s="190"/>
      <c r="D27" s="190"/>
      <c r="E27" s="190"/>
      <c r="F27" s="190"/>
      <c r="G27" s="190"/>
      <c r="H27" s="190"/>
      <c r="I27" s="191">
        <v>1</v>
      </c>
      <c r="J27" s="192"/>
      <c r="K27" s="193"/>
      <c r="L27" s="27" t="s">
        <v>29</v>
      </c>
      <c r="M27" s="194"/>
      <c r="N27" s="194"/>
      <c r="O27" s="194"/>
      <c r="P27" s="194"/>
      <c r="Q27" s="194"/>
      <c r="R27" s="194"/>
      <c r="S27" s="194"/>
      <c r="T27" s="194"/>
      <c r="U27" s="1"/>
    </row>
    <row r="28" spans="1:21" ht="19.5" customHeight="1" x14ac:dyDescent="0.25">
      <c r="A28" s="16"/>
      <c r="B28" s="207" t="s">
        <v>75</v>
      </c>
      <c r="C28" s="208"/>
      <c r="D28" s="208"/>
      <c r="E28" s="208"/>
      <c r="F28" s="208"/>
      <c r="G28" s="208"/>
      <c r="H28" s="208"/>
      <c r="I28" s="202">
        <v>1</v>
      </c>
      <c r="J28" s="202"/>
      <c r="K28" s="202"/>
      <c r="L28" s="32" t="s">
        <v>29</v>
      </c>
      <c r="M28" s="194"/>
      <c r="N28" s="194"/>
      <c r="O28" s="194"/>
      <c r="P28" s="194"/>
      <c r="Q28" s="194"/>
      <c r="R28" s="194"/>
      <c r="S28" s="194"/>
      <c r="T28" s="194"/>
      <c r="U28" s="1"/>
    </row>
    <row r="29" spans="1:21" ht="19.5" customHeight="1" x14ac:dyDescent="0.25">
      <c r="A29" s="16"/>
      <c r="B29" s="207" t="s">
        <v>275</v>
      </c>
      <c r="C29" s="208"/>
      <c r="D29" s="208"/>
      <c r="E29" s="208"/>
      <c r="F29" s="208"/>
      <c r="G29" s="208"/>
      <c r="H29" s="208"/>
      <c r="I29" s="209">
        <v>5</v>
      </c>
      <c r="J29" s="209"/>
      <c r="K29" s="209"/>
      <c r="L29" s="32" t="s">
        <v>29</v>
      </c>
      <c r="M29" s="194"/>
      <c r="N29" s="194"/>
      <c r="O29" s="194"/>
      <c r="P29" s="194"/>
      <c r="Q29" s="194"/>
      <c r="R29" s="194"/>
      <c r="S29" s="194"/>
      <c r="T29" s="194"/>
      <c r="U29" s="1"/>
    </row>
    <row r="30" spans="1:21" ht="19.5" customHeight="1" x14ac:dyDescent="0.25">
      <c r="A30" s="16"/>
      <c r="B30" s="207" t="s">
        <v>306</v>
      </c>
      <c r="C30" s="208"/>
      <c r="D30" s="208"/>
      <c r="E30" s="208"/>
      <c r="F30" s="208"/>
      <c r="G30" s="208"/>
      <c r="H30" s="208"/>
      <c r="I30" s="209">
        <v>40</v>
      </c>
      <c r="J30" s="209"/>
      <c r="K30" s="209"/>
      <c r="L30" s="32" t="s">
        <v>29</v>
      </c>
      <c r="M30" s="194"/>
      <c r="N30" s="194"/>
      <c r="O30" s="194"/>
      <c r="P30" s="194"/>
      <c r="Q30" s="194"/>
      <c r="R30" s="194"/>
      <c r="S30" s="194"/>
      <c r="T30" s="194"/>
      <c r="U30" s="1"/>
    </row>
    <row r="31" spans="1:21" ht="19.5" customHeight="1" x14ac:dyDescent="0.25">
      <c r="A31" s="16"/>
      <c r="B31" s="207" t="s">
        <v>316</v>
      </c>
      <c r="C31" s="208"/>
      <c r="D31" s="208"/>
      <c r="E31" s="208"/>
      <c r="F31" s="208"/>
      <c r="G31" s="208"/>
      <c r="H31" s="208"/>
      <c r="I31" s="209">
        <v>1</v>
      </c>
      <c r="J31" s="209"/>
      <c r="K31" s="209"/>
      <c r="L31" s="32" t="s">
        <v>29</v>
      </c>
      <c r="M31" s="194"/>
      <c r="N31" s="194"/>
      <c r="O31" s="194"/>
      <c r="P31" s="194"/>
      <c r="Q31" s="194"/>
      <c r="R31" s="194"/>
      <c r="S31" s="194"/>
      <c r="T31" s="194"/>
      <c r="U31" s="1"/>
    </row>
    <row r="32" spans="1:21" ht="19.5" customHeight="1" x14ac:dyDescent="0.25">
      <c r="A32" s="16"/>
      <c r="B32" s="207" t="s">
        <v>63</v>
      </c>
      <c r="C32" s="208"/>
      <c r="D32" s="208"/>
      <c r="E32" s="208"/>
      <c r="F32" s="208"/>
      <c r="G32" s="208"/>
      <c r="H32" s="208"/>
      <c r="I32" s="209">
        <v>200</v>
      </c>
      <c r="J32" s="209"/>
      <c r="K32" s="209"/>
      <c r="L32" s="32" t="s">
        <v>29</v>
      </c>
      <c r="M32" s="194"/>
      <c r="N32" s="194"/>
      <c r="O32" s="194"/>
      <c r="P32" s="194"/>
      <c r="Q32" s="194"/>
      <c r="R32" s="194"/>
      <c r="S32" s="194"/>
      <c r="T32" s="194"/>
      <c r="U32" s="1"/>
    </row>
    <row r="33" spans="1:21" ht="22.5" customHeight="1" x14ac:dyDescent="0.25">
      <c r="A33" s="16"/>
      <c r="B33" s="190" t="s">
        <v>131</v>
      </c>
      <c r="C33" s="190"/>
      <c r="D33" s="190"/>
      <c r="E33" s="190"/>
      <c r="F33" s="190"/>
      <c r="G33" s="190"/>
      <c r="H33" s="190"/>
      <c r="I33" s="191"/>
      <c r="J33" s="192"/>
      <c r="K33" s="193"/>
      <c r="L33" s="27" t="s">
        <v>29</v>
      </c>
      <c r="M33" s="194"/>
      <c r="N33" s="194"/>
      <c r="O33" s="194"/>
      <c r="P33" s="194"/>
      <c r="Q33" s="194"/>
      <c r="R33" s="194"/>
      <c r="S33" s="194"/>
      <c r="T33" s="194"/>
      <c r="U33" s="1"/>
    </row>
    <row r="34" spans="1:21" ht="47.25" customHeight="1" x14ac:dyDescent="0.25">
      <c r="A34" s="16"/>
      <c r="B34" s="199"/>
      <c r="C34" s="200"/>
      <c r="D34" s="200"/>
      <c r="E34" s="201"/>
      <c r="F34" s="202" t="s">
        <v>17</v>
      </c>
      <c r="G34" s="202"/>
      <c r="H34" s="202"/>
      <c r="I34" s="202"/>
      <c r="J34" s="202"/>
      <c r="K34" s="202"/>
      <c r="L34" s="202"/>
      <c r="M34" s="202"/>
      <c r="N34" s="202"/>
      <c r="O34" s="202"/>
      <c r="P34" s="203"/>
      <c r="Q34" s="204"/>
      <c r="R34" s="204"/>
      <c r="S34" s="204"/>
      <c r="T34" s="205"/>
      <c r="U34" s="1"/>
    </row>
    <row r="35" spans="1:21" ht="13.5" customHeight="1" x14ac:dyDescent="0.25">
      <c r="A35" s="16"/>
      <c r="B35" s="199"/>
      <c r="C35" s="200"/>
      <c r="D35" s="200"/>
      <c r="E35" s="200"/>
      <c r="F35" s="200"/>
      <c r="G35" s="201"/>
      <c r="H35" s="206" t="s">
        <v>18</v>
      </c>
      <c r="I35" s="206"/>
      <c r="J35" s="206"/>
      <c r="K35" s="206"/>
      <c r="L35" s="206"/>
      <c r="M35" s="206"/>
      <c r="N35" s="206"/>
      <c r="O35" s="206"/>
      <c r="P35" s="203"/>
      <c r="Q35" s="204"/>
      <c r="R35" s="204"/>
      <c r="S35" s="204"/>
      <c r="T35" s="205"/>
      <c r="U35" s="1"/>
    </row>
    <row r="36" spans="1:21" ht="15" customHeight="1" x14ac:dyDescent="0.25">
      <c r="B36" s="195" t="s">
        <v>19</v>
      </c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6"/>
    </row>
    <row r="37" spans="1:21" x14ac:dyDescent="0.25">
      <c r="A37" s="17"/>
      <c r="B37" s="197"/>
      <c r="C37" s="197"/>
      <c r="D37" s="197"/>
      <c r="E37" s="197"/>
      <c r="F37" s="197"/>
      <c r="G37" s="197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8"/>
    </row>
    <row r="39" spans="1:21" x14ac:dyDescent="0.25">
      <c r="A39" t="s">
        <v>20</v>
      </c>
    </row>
  </sheetData>
  <mergeCells count="97">
    <mergeCell ref="A5:C5"/>
    <mergeCell ref="D5:K5"/>
    <mergeCell ref="L5:P5"/>
    <mergeCell ref="Q5:U5"/>
    <mergeCell ref="B13:I13"/>
    <mergeCell ref="K13:S13"/>
    <mergeCell ref="B7:I7"/>
    <mergeCell ref="B8:I8"/>
    <mergeCell ref="B9:I9"/>
    <mergeCell ref="K9:S9"/>
    <mergeCell ref="B10:I10"/>
    <mergeCell ref="K10:S10"/>
    <mergeCell ref="B11:F11"/>
    <mergeCell ref="G11:I11"/>
    <mergeCell ref="K11:S11"/>
    <mergeCell ref="B12:I12"/>
    <mergeCell ref="A1:C3"/>
    <mergeCell ref="D1:U1"/>
    <mergeCell ref="D2:U2"/>
    <mergeCell ref="D3:U4"/>
    <mergeCell ref="A4:C4"/>
    <mergeCell ref="K12:S12"/>
    <mergeCell ref="B14:I14"/>
    <mergeCell ref="K14:S14"/>
    <mergeCell ref="B15:I15"/>
    <mergeCell ref="B16:I16"/>
    <mergeCell ref="B18:H18"/>
    <mergeCell ref="I18:K18"/>
    <mergeCell ref="M18:Q18"/>
    <mergeCell ref="R18:T18"/>
    <mergeCell ref="B19:H19"/>
    <mergeCell ref="I19:K19"/>
    <mergeCell ref="M19:Q19"/>
    <mergeCell ref="R19:T19"/>
    <mergeCell ref="B20:H20"/>
    <mergeCell ref="I20:K20"/>
    <mergeCell ref="M20:Q20"/>
    <mergeCell ref="R20:T20"/>
    <mergeCell ref="B21:H21"/>
    <mergeCell ref="I21:K21"/>
    <mergeCell ref="M21:Q21"/>
    <mergeCell ref="R21:T21"/>
    <mergeCell ref="B22:H22"/>
    <mergeCell ref="I22:K22"/>
    <mergeCell ref="M22:Q22"/>
    <mergeCell ref="R22:T22"/>
    <mergeCell ref="B23:H23"/>
    <mergeCell ref="I23:K23"/>
    <mergeCell ref="M23:Q23"/>
    <mergeCell ref="R23:T23"/>
    <mergeCell ref="B24:H24"/>
    <mergeCell ref="I24:K24"/>
    <mergeCell ref="M24:Q24"/>
    <mergeCell ref="R24:T24"/>
    <mergeCell ref="B25:H25"/>
    <mergeCell ref="I25:K25"/>
    <mergeCell ref="M25:Q25"/>
    <mergeCell ref="R25:T25"/>
    <mergeCell ref="B27:H27"/>
    <mergeCell ref="I27:K27"/>
    <mergeCell ref="M27:Q27"/>
    <mergeCell ref="R27:T27"/>
    <mergeCell ref="B26:H26"/>
    <mergeCell ref="I26:K26"/>
    <mergeCell ref="M26:Q26"/>
    <mergeCell ref="R26:T26"/>
    <mergeCell ref="B28:H28"/>
    <mergeCell ref="I28:K28"/>
    <mergeCell ref="M28:Q28"/>
    <mergeCell ref="R28:T28"/>
    <mergeCell ref="B29:H29"/>
    <mergeCell ref="I29:K29"/>
    <mergeCell ref="M29:Q29"/>
    <mergeCell ref="R29:T29"/>
    <mergeCell ref="B33:H33"/>
    <mergeCell ref="I33:K33"/>
    <mergeCell ref="M33:Q33"/>
    <mergeCell ref="R33:T33"/>
    <mergeCell ref="B36:U37"/>
    <mergeCell ref="B34:E34"/>
    <mergeCell ref="F34:O34"/>
    <mergeCell ref="P34:T34"/>
    <mergeCell ref="B35:G35"/>
    <mergeCell ref="H35:O35"/>
    <mergeCell ref="P35:T35"/>
    <mergeCell ref="B32:H32"/>
    <mergeCell ref="I32:K32"/>
    <mergeCell ref="M32:Q32"/>
    <mergeCell ref="R32:T32"/>
    <mergeCell ref="B30:H30"/>
    <mergeCell ref="I30:K30"/>
    <mergeCell ref="M30:Q30"/>
    <mergeCell ref="R30:T30"/>
    <mergeCell ref="B31:H31"/>
    <mergeCell ref="I31:K31"/>
    <mergeCell ref="M31:Q31"/>
    <mergeCell ref="R31:T3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438E1-AE03-457D-BCC8-ECFBC3EA2C76}">
  <sheetPr>
    <tabColor theme="0"/>
    <pageSetUpPr fitToPage="1"/>
  </sheetPr>
  <dimension ref="A1:U38"/>
  <sheetViews>
    <sheetView view="pageBreakPreview" zoomScale="90" zoomScaleNormal="100" zoomScaleSheetLayoutView="90" workbookViewId="0">
      <selection activeCell="K14" sqref="K14:S14"/>
    </sheetView>
  </sheetViews>
  <sheetFormatPr baseColWidth="10" defaultColWidth="10.7109375" defaultRowHeight="15" x14ac:dyDescent="0.25"/>
  <cols>
    <col min="1" max="1" width="2" customWidth="1"/>
    <col min="2" max="2" width="6.28515625" customWidth="1"/>
    <col min="3" max="3" width="5.7109375" customWidth="1"/>
    <col min="4" max="4" width="11.85546875" customWidth="1"/>
    <col min="5" max="5" width="3.5703125" customWidth="1"/>
    <col min="6" max="6" width="2.85546875" customWidth="1"/>
    <col min="7" max="7" width="3.28515625" customWidth="1"/>
    <col min="8" max="8" width="25.7109375" customWidth="1"/>
    <col min="9" max="9" width="5.85546875" style="20" customWidth="1"/>
    <col min="10" max="10" width="4.85546875" style="20" customWidth="1"/>
    <col min="11" max="11" width="2.5703125" style="20" customWidth="1"/>
    <col min="12" max="12" width="14" style="19" customWidth="1"/>
    <col min="13" max="13" width="1.85546875" customWidth="1"/>
    <col min="14" max="14" width="2.28515625" customWidth="1"/>
    <col min="15" max="15" width="1.85546875" customWidth="1"/>
    <col min="16" max="16" width="2.7109375" customWidth="1"/>
    <col min="17" max="18" width="3.85546875" customWidth="1"/>
    <col min="19" max="19" width="4" customWidth="1"/>
    <col min="20" max="20" width="3.28515625" customWidth="1"/>
    <col min="21" max="21" width="1.7109375" customWidth="1"/>
  </cols>
  <sheetData>
    <row r="1" spans="1:21" x14ac:dyDescent="0.25">
      <c r="A1" s="263"/>
      <c r="B1" s="263"/>
      <c r="C1" s="263"/>
      <c r="D1" s="264" t="s">
        <v>0</v>
      </c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</row>
    <row r="2" spans="1:21" x14ac:dyDescent="0.25">
      <c r="A2" s="263"/>
      <c r="B2" s="263"/>
      <c r="C2" s="263"/>
      <c r="D2" s="264" t="s">
        <v>1</v>
      </c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</row>
    <row r="3" spans="1:21" x14ac:dyDescent="0.25">
      <c r="A3" s="263"/>
      <c r="B3" s="263"/>
      <c r="C3" s="263"/>
      <c r="D3" s="264" t="s">
        <v>2</v>
      </c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4"/>
    </row>
    <row r="4" spans="1:21" x14ac:dyDescent="0.25">
      <c r="A4" s="265" t="s">
        <v>3</v>
      </c>
      <c r="B4" s="265"/>
      <c r="C4" s="265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4"/>
    </row>
    <row r="5" spans="1:21" ht="21" customHeight="1" x14ac:dyDescent="0.25">
      <c r="A5" s="242"/>
      <c r="B5" s="243"/>
      <c r="C5" s="244"/>
      <c r="D5" s="245" t="s">
        <v>4</v>
      </c>
      <c r="E5" s="246"/>
      <c r="F5" s="246"/>
      <c r="G5" s="246"/>
      <c r="H5" s="246"/>
      <c r="I5" s="246"/>
      <c r="J5" s="246"/>
      <c r="K5" s="246"/>
      <c r="L5" s="247" t="s">
        <v>5</v>
      </c>
      <c r="M5" s="247"/>
      <c r="N5" s="247"/>
      <c r="O5" s="247"/>
      <c r="P5" s="247"/>
      <c r="Q5" s="248" t="s">
        <v>21</v>
      </c>
      <c r="R5" s="248"/>
      <c r="S5" s="248"/>
      <c r="T5" s="248"/>
      <c r="U5" s="249"/>
    </row>
    <row r="6" spans="1:21" x14ac:dyDescent="0.25">
      <c r="A6" s="14"/>
      <c r="B6" s="15"/>
      <c r="C6" s="15"/>
      <c r="U6" s="1"/>
    </row>
    <row r="7" spans="1:21" x14ac:dyDescent="0.25">
      <c r="A7" s="16"/>
      <c r="B7" s="250" t="s">
        <v>6</v>
      </c>
      <c r="C7" s="251"/>
      <c r="D7" s="251"/>
      <c r="E7" s="251"/>
      <c r="F7" s="251"/>
      <c r="G7" s="251"/>
      <c r="H7" s="251"/>
      <c r="I7" s="252"/>
      <c r="J7" s="22"/>
      <c r="K7" s="22"/>
      <c r="U7" s="1"/>
    </row>
    <row r="8" spans="1:21" x14ac:dyDescent="0.25">
      <c r="A8" s="16"/>
      <c r="B8" s="253" t="s">
        <v>7</v>
      </c>
      <c r="C8" s="253"/>
      <c r="D8" s="253"/>
      <c r="E8" s="253"/>
      <c r="F8" s="253"/>
      <c r="G8" s="253"/>
      <c r="H8" s="253"/>
      <c r="I8" s="253"/>
      <c r="J8" s="23"/>
      <c r="K8" s="23"/>
      <c r="L8" s="25"/>
      <c r="M8" s="3"/>
      <c r="N8" s="3"/>
      <c r="O8" s="3"/>
      <c r="P8" s="3"/>
      <c r="Q8" s="3"/>
      <c r="R8" s="3"/>
      <c r="S8" s="3"/>
      <c r="T8" s="3"/>
      <c r="U8" s="4"/>
    </row>
    <row r="9" spans="1:21" x14ac:dyDescent="0.25">
      <c r="A9" s="16"/>
      <c r="B9" s="253" t="s">
        <v>8</v>
      </c>
      <c r="C9" s="253"/>
      <c r="D9" s="253"/>
      <c r="E9" s="253"/>
      <c r="F9" s="253"/>
      <c r="G9" s="253"/>
      <c r="H9" s="253"/>
      <c r="I9" s="253"/>
      <c r="J9" s="23"/>
      <c r="K9" s="254" t="s">
        <v>9</v>
      </c>
      <c r="L9" s="254"/>
      <c r="M9" s="254"/>
      <c r="N9" s="254"/>
      <c r="O9" s="254"/>
      <c r="P9" s="254"/>
      <c r="Q9" s="254"/>
      <c r="R9" s="254"/>
      <c r="S9" s="254"/>
      <c r="T9" s="3"/>
      <c r="U9" s="4"/>
    </row>
    <row r="10" spans="1:21" x14ac:dyDescent="0.25">
      <c r="A10" s="16"/>
      <c r="B10" s="253" t="s">
        <v>10</v>
      </c>
      <c r="C10" s="253"/>
      <c r="D10" s="253"/>
      <c r="E10" s="253"/>
      <c r="F10" s="253"/>
      <c r="G10" s="253"/>
      <c r="H10" s="253"/>
      <c r="I10" s="253"/>
      <c r="J10" s="22"/>
      <c r="K10" s="255" t="s">
        <v>11</v>
      </c>
      <c r="L10" s="255"/>
      <c r="M10" s="255"/>
      <c r="N10" s="255"/>
      <c r="O10" s="255"/>
      <c r="P10" s="255"/>
      <c r="Q10" s="255"/>
      <c r="R10" s="255"/>
      <c r="S10" s="255"/>
      <c r="T10" s="2"/>
      <c r="U10" s="1"/>
    </row>
    <row r="11" spans="1:21" ht="35.25" customHeight="1" x14ac:dyDescent="0.25">
      <c r="A11" s="5"/>
      <c r="B11" s="256" t="s">
        <v>170</v>
      </c>
      <c r="C11" s="257"/>
      <c r="D11" s="257"/>
      <c r="E11" s="257"/>
      <c r="F11" s="258"/>
      <c r="G11" s="239" t="s">
        <v>320</v>
      </c>
      <c r="H11" s="237"/>
      <c r="I11" s="238"/>
      <c r="J11" s="23"/>
      <c r="K11" s="260" t="s">
        <v>28</v>
      </c>
      <c r="L11" s="261"/>
      <c r="M11" s="261"/>
      <c r="N11" s="261"/>
      <c r="O11" s="261"/>
      <c r="P11" s="261"/>
      <c r="Q11" s="261"/>
      <c r="R11" s="261"/>
      <c r="S11" s="262"/>
      <c r="T11" s="12"/>
      <c r="U11" s="6"/>
    </row>
    <row r="12" spans="1:21" ht="15" customHeight="1" x14ac:dyDescent="0.25">
      <c r="A12" s="5"/>
      <c r="B12" s="239" t="s">
        <v>22</v>
      </c>
      <c r="C12" s="240"/>
      <c r="D12" s="240"/>
      <c r="E12" s="240"/>
      <c r="F12" s="240"/>
      <c r="G12" s="240"/>
      <c r="H12" s="240"/>
      <c r="I12" s="241"/>
      <c r="J12" s="23"/>
      <c r="K12" s="225" t="s">
        <v>25</v>
      </c>
      <c r="L12" s="226"/>
      <c r="M12" s="226"/>
      <c r="N12" s="226"/>
      <c r="O12" s="226"/>
      <c r="P12" s="226"/>
      <c r="Q12" s="226"/>
      <c r="R12" s="226"/>
      <c r="S12" s="227"/>
      <c r="T12" s="12"/>
      <c r="U12" s="6"/>
    </row>
    <row r="13" spans="1:21" x14ac:dyDescent="0.25">
      <c r="A13" s="5"/>
      <c r="B13" s="236" t="s">
        <v>27</v>
      </c>
      <c r="C13" s="237"/>
      <c r="D13" s="237"/>
      <c r="E13" s="237"/>
      <c r="F13" s="237"/>
      <c r="G13" s="237"/>
      <c r="H13" s="237"/>
      <c r="I13" s="238"/>
      <c r="J13" s="24"/>
      <c r="K13" s="225" t="s">
        <v>31</v>
      </c>
      <c r="L13" s="226"/>
      <c r="M13" s="226"/>
      <c r="N13" s="226"/>
      <c r="O13" s="226"/>
      <c r="P13" s="226"/>
      <c r="Q13" s="226"/>
      <c r="R13" s="226"/>
      <c r="S13" s="227"/>
      <c r="T13" s="3"/>
      <c r="U13" s="4"/>
    </row>
    <row r="14" spans="1:21" ht="30" customHeight="1" x14ac:dyDescent="0.25">
      <c r="A14" s="5"/>
      <c r="B14" s="222" t="s">
        <v>26</v>
      </c>
      <c r="C14" s="223"/>
      <c r="D14" s="223"/>
      <c r="E14" s="223"/>
      <c r="F14" s="223"/>
      <c r="G14" s="223"/>
      <c r="H14" s="223"/>
      <c r="I14" s="224"/>
      <c r="J14" s="21"/>
      <c r="K14" s="225" t="s">
        <v>194</v>
      </c>
      <c r="L14" s="226"/>
      <c r="M14" s="226"/>
      <c r="N14" s="226"/>
      <c r="O14" s="226"/>
      <c r="P14" s="226"/>
      <c r="Q14" s="226"/>
      <c r="R14" s="226"/>
      <c r="S14" s="227"/>
      <c r="T14" s="7"/>
      <c r="U14" s="8"/>
    </row>
    <row r="15" spans="1:21" ht="15" customHeight="1" x14ac:dyDescent="0.25">
      <c r="A15" s="5"/>
      <c r="B15" s="228" t="s">
        <v>23</v>
      </c>
      <c r="C15" s="229"/>
      <c r="D15" s="229"/>
      <c r="E15" s="229"/>
      <c r="F15" s="229"/>
      <c r="G15" s="229"/>
      <c r="H15" s="229"/>
      <c r="I15" s="230"/>
      <c r="J15" s="21"/>
      <c r="K15" s="23"/>
      <c r="L15" s="25"/>
      <c r="M15" s="13"/>
      <c r="N15" s="13"/>
      <c r="O15" s="13"/>
      <c r="P15" s="13"/>
      <c r="Q15" s="13"/>
      <c r="R15" s="13"/>
      <c r="S15" s="13"/>
      <c r="T15" s="7"/>
      <c r="U15" s="8"/>
    </row>
    <row r="16" spans="1:21" x14ac:dyDescent="0.25">
      <c r="A16" s="9"/>
      <c r="B16" s="231" t="s">
        <v>24</v>
      </c>
      <c r="C16" s="232"/>
      <c r="D16" s="232"/>
      <c r="E16" s="232"/>
      <c r="F16" s="232"/>
      <c r="G16" s="232"/>
      <c r="H16" s="232"/>
      <c r="I16" s="233"/>
      <c r="J16" s="22"/>
      <c r="K16" s="22"/>
      <c r="L16" s="26"/>
      <c r="M16" s="2"/>
      <c r="N16" s="10"/>
      <c r="O16" s="10"/>
      <c r="P16" s="10"/>
      <c r="Q16" s="10"/>
      <c r="R16" s="10"/>
      <c r="S16" s="10"/>
      <c r="T16" s="2"/>
      <c r="U16" s="1"/>
    </row>
    <row r="17" spans="1:21" x14ac:dyDescent="0.25">
      <c r="A17" s="16"/>
      <c r="B17" s="11"/>
      <c r="C17" s="11"/>
      <c r="D17" s="11"/>
      <c r="E17" s="11"/>
      <c r="F17" s="11"/>
      <c r="G17" s="7"/>
      <c r="H17" s="7"/>
      <c r="I17" s="21"/>
      <c r="J17" s="22"/>
      <c r="K17" s="22"/>
      <c r="L17" s="26"/>
      <c r="M17" s="2"/>
      <c r="N17" s="10"/>
      <c r="O17" s="10"/>
      <c r="P17" s="10"/>
      <c r="Q17" s="10"/>
      <c r="R17" s="10"/>
      <c r="S17" s="10"/>
      <c r="T17" s="2"/>
      <c r="U17" s="1"/>
    </row>
    <row r="18" spans="1:21" x14ac:dyDescent="0.25">
      <c r="A18" s="16"/>
      <c r="B18" s="234" t="s">
        <v>12</v>
      </c>
      <c r="C18" s="234"/>
      <c r="D18" s="234"/>
      <c r="E18" s="234"/>
      <c r="F18" s="234"/>
      <c r="G18" s="234"/>
      <c r="H18" s="234"/>
      <c r="I18" s="235" t="s">
        <v>13</v>
      </c>
      <c r="J18" s="235"/>
      <c r="K18" s="235"/>
      <c r="L18" s="18" t="s">
        <v>14</v>
      </c>
      <c r="M18" s="194" t="s">
        <v>15</v>
      </c>
      <c r="N18" s="194"/>
      <c r="O18" s="194"/>
      <c r="P18" s="194"/>
      <c r="Q18" s="194"/>
      <c r="R18" s="194" t="s">
        <v>16</v>
      </c>
      <c r="S18" s="194"/>
      <c r="T18" s="194"/>
      <c r="U18" s="1"/>
    </row>
    <row r="19" spans="1:21" s="31" customFormat="1" ht="27" customHeight="1" x14ac:dyDescent="0.25">
      <c r="A19" s="28"/>
      <c r="B19" s="306" t="s">
        <v>80</v>
      </c>
      <c r="C19" s="307"/>
      <c r="D19" s="307"/>
      <c r="E19" s="307"/>
      <c r="F19" s="307"/>
      <c r="G19" s="307"/>
      <c r="H19" s="308"/>
      <c r="I19" s="211">
        <v>1</v>
      </c>
      <c r="J19" s="212"/>
      <c r="K19" s="213"/>
      <c r="L19" s="29" t="s">
        <v>29</v>
      </c>
      <c r="M19" s="214"/>
      <c r="N19" s="214"/>
      <c r="O19" s="214"/>
      <c r="P19" s="214"/>
      <c r="Q19" s="214"/>
      <c r="R19" s="214"/>
      <c r="S19" s="214"/>
      <c r="T19" s="214"/>
      <c r="U19" s="30"/>
    </row>
    <row r="20" spans="1:21" s="34" customFormat="1" ht="19.5" customHeight="1" x14ac:dyDescent="0.25">
      <c r="A20" s="69"/>
      <c r="B20" s="306" t="s">
        <v>64</v>
      </c>
      <c r="C20" s="307"/>
      <c r="D20" s="307"/>
      <c r="E20" s="307"/>
      <c r="F20" s="307"/>
      <c r="G20" s="307"/>
      <c r="H20" s="308"/>
      <c r="I20" s="211">
        <v>1</v>
      </c>
      <c r="J20" s="212"/>
      <c r="K20" s="213"/>
      <c r="L20" s="29" t="s">
        <v>29</v>
      </c>
      <c r="M20" s="214"/>
      <c r="N20" s="214"/>
      <c r="O20" s="214"/>
      <c r="P20" s="214"/>
      <c r="Q20" s="214"/>
      <c r="R20" s="214"/>
      <c r="S20" s="214"/>
      <c r="T20" s="214"/>
      <c r="U20" s="70"/>
    </row>
    <row r="21" spans="1:21" s="34" customFormat="1" ht="24" customHeight="1" x14ac:dyDescent="0.25">
      <c r="A21" s="69"/>
      <c r="B21" s="210" t="s">
        <v>56</v>
      </c>
      <c r="C21" s="210"/>
      <c r="D21" s="210"/>
      <c r="E21" s="210"/>
      <c r="F21" s="210"/>
      <c r="G21" s="210"/>
      <c r="H21" s="210"/>
      <c r="I21" s="211">
        <v>50</v>
      </c>
      <c r="J21" s="212"/>
      <c r="K21" s="213"/>
      <c r="L21" s="29" t="s">
        <v>29</v>
      </c>
      <c r="M21" s="214"/>
      <c r="N21" s="214"/>
      <c r="O21" s="214"/>
      <c r="P21" s="214"/>
      <c r="Q21" s="214"/>
      <c r="R21" s="214"/>
      <c r="S21" s="214"/>
      <c r="T21" s="214"/>
      <c r="U21" s="70"/>
    </row>
    <row r="22" spans="1:21" ht="19.5" customHeight="1" x14ac:dyDescent="0.25">
      <c r="A22" s="16"/>
      <c r="B22" s="190" t="s">
        <v>268</v>
      </c>
      <c r="C22" s="190"/>
      <c r="D22" s="190"/>
      <c r="E22" s="190"/>
      <c r="F22" s="190"/>
      <c r="G22" s="190"/>
      <c r="H22" s="190"/>
      <c r="I22" s="191">
        <v>10</v>
      </c>
      <c r="J22" s="192"/>
      <c r="K22" s="193"/>
      <c r="L22" s="27" t="s">
        <v>29</v>
      </c>
      <c r="M22" s="194"/>
      <c r="N22" s="194"/>
      <c r="O22" s="194"/>
      <c r="P22" s="194"/>
      <c r="Q22" s="194"/>
      <c r="R22" s="194"/>
      <c r="S22" s="194"/>
      <c r="T22" s="194"/>
      <c r="U22" s="1"/>
    </row>
    <row r="23" spans="1:21" ht="19.5" customHeight="1" x14ac:dyDescent="0.25">
      <c r="A23" s="16"/>
      <c r="B23" s="190" t="s">
        <v>318</v>
      </c>
      <c r="C23" s="190"/>
      <c r="D23" s="190"/>
      <c r="E23" s="190"/>
      <c r="F23" s="190"/>
      <c r="G23" s="190"/>
      <c r="H23" s="190"/>
      <c r="I23" s="191">
        <v>24</v>
      </c>
      <c r="J23" s="192"/>
      <c r="K23" s="193"/>
      <c r="L23" s="27" t="s">
        <v>29</v>
      </c>
      <c r="M23" s="194"/>
      <c r="N23" s="194"/>
      <c r="O23" s="194"/>
      <c r="P23" s="194"/>
      <c r="Q23" s="194"/>
      <c r="R23" s="194"/>
      <c r="S23" s="194"/>
      <c r="T23" s="194"/>
      <c r="U23" s="1"/>
    </row>
    <row r="24" spans="1:21" ht="27.75" customHeight="1" x14ac:dyDescent="0.25">
      <c r="A24" s="16"/>
      <c r="B24" s="190" t="s">
        <v>311</v>
      </c>
      <c r="C24" s="190"/>
      <c r="D24" s="190"/>
      <c r="E24" s="190"/>
      <c r="F24" s="190"/>
      <c r="G24" s="190"/>
      <c r="H24" s="190"/>
      <c r="I24" s="191">
        <v>1</v>
      </c>
      <c r="J24" s="192"/>
      <c r="K24" s="193"/>
      <c r="L24" s="27" t="s">
        <v>29</v>
      </c>
      <c r="M24" s="194"/>
      <c r="N24" s="194"/>
      <c r="O24" s="194"/>
      <c r="P24" s="194"/>
      <c r="Q24" s="194"/>
      <c r="R24" s="194"/>
      <c r="S24" s="194"/>
      <c r="T24" s="194"/>
      <c r="U24" s="1"/>
    </row>
    <row r="25" spans="1:21" ht="19.5" customHeight="1" x14ac:dyDescent="0.25">
      <c r="A25" s="16"/>
      <c r="B25" s="317" t="s">
        <v>126</v>
      </c>
      <c r="C25" s="317"/>
      <c r="D25" s="317"/>
      <c r="E25" s="317"/>
      <c r="F25" s="317"/>
      <c r="G25" s="317"/>
      <c r="H25" s="317"/>
      <c r="I25" s="191">
        <v>12</v>
      </c>
      <c r="J25" s="192"/>
      <c r="K25" s="193"/>
      <c r="L25" s="118" t="s">
        <v>29</v>
      </c>
      <c r="M25" s="194"/>
      <c r="N25" s="194"/>
      <c r="O25" s="194"/>
      <c r="P25" s="194"/>
      <c r="Q25" s="194"/>
      <c r="R25" s="194"/>
      <c r="S25" s="194"/>
      <c r="T25" s="194"/>
      <c r="U25" s="1"/>
    </row>
    <row r="26" spans="1:21" ht="30" customHeight="1" x14ac:dyDescent="0.25">
      <c r="A26" s="16"/>
      <c r="B26" s="306" t="s">
        <v>127</v>
      </c>
      <c r="C26" s="307"/>
      <c r="D26" s="307"/>
      <c r="E26" s="307"/>
      <c r="F26" s="307"/>
      <c r="G26" s="307"/>
      <c r="H26" s="308"/>
      <c r="I26" s="211">
        <v>40</v>
      </c>
      <c r="J26" s="212"/>
      <c r="K26" s="213"/>
      <c r="L26" s="29" t="s">
        <v>29</v>
      </c>
      <c r="M26" s="194"/>
      <c r="N26" s="194"/>
      <c r="O26" s="194"/>
      <c r="P26" s="194"/>
      <c r="Q26" s="194"/>
      <c r="R26" s="194"/>
      <c r="S26" s="194"/>
      <c r="T26" s="194"/>
      <c r="U26" s="1"/>
    </row>
    <row r="27" spans="1:21" ht="19.5" customHeight="1" x14ac:dyDescent="0.25">
      <c r="A27" s="16"/>
      <c r="B27" s="207" t="s">
        <v>306</v>
      </c>
      <c r="C27" s="208"/>
      <c r="D27" s="208"/>
      <c r="E27" s="208"/>
      <c r="F27" s="208"/>
      <c r="G27" s="208"/>
      <c r="H27" s="208"/>
      <c r="I27" s="209">
        <v>40</v>
      </c>
      <c r="J27" s="209"/>
      <c r="K27" s="209"/>
      <c r="L27" s="32" t="s">
        <v>29</v>
      </c>
      <c r="M27" s="194"/>
      <c r="N27" s="194"/>
      <c r="O27" s="194"/>
      <c r="P27" s="194"/>
      <c r="Q27" s="194"/>
      <c r="R27" s="194"/>
      <c r="S27" s="194"/>
      <c r="T27" s="194"/>
      <c r="U27" s="1"/>
    </row>
    <row r="28" spans="1:21" ht="19.5" customHeight="1" x14ac:dyDescent="0.25">
      <c r="A28" s="16"/>
      <c r="B28" s="190" t="s">
        <v>319</v>
      </c>
      <c r="C28" s="190"/>
      <c r="D28" s="190"/>
      <c r="E28" s="190"/>
      <c r="F28" s="190"/>
      <c r="G28" s="190"/>
      <c r="H28" s="190"/>
      <c r="I28" s="191">
        <v>1</v>
      </c>
      <c r="J28" s="192"/>
      <c r="K28" s="193"/>
      <c r="L28" s="27" t="s">
        <v>121</v>
      </c>
      <c r="M28" s="194"/>
      <c r="N28" s="194"/>
      <c r="O28" s="194"/>
      <c r="P28" s="194"/>
      <c r="Q28" s="194"/>
      <c r="R28" s="194"/>
      <c r="S28" s="194"/>
      <c r="T28" s="194"/>
      <c r="U28" s="1"/>
    </row>
    <row r="29" spans="1:21" ht="18.75" customHeight="1" x14ac:dyDescent="0.25">
      <c r="A29" s="16"/>
      <c r="B29" s="190"/>
      <c r="C29" s="190"/>
      <c r="D29" s="190"/>
      <c r="E29" s="190"/>
      <c r="F29" s="190"/>
      <c r="G29" s="190"/>
      <c r="H29" s="190"/>
      <c r="I29" s="191"/>
      <c r="J29" s="192"/>
      <c r="K29" s="193"/>
      <c r="L29" s="27"/>
      <c r="M29" s="194"/>
      <c r="N29" s="194"/>
      <c r="O29" s="194"/>
      <c r="P29" s="194"/>
      <c r="Q29" s="194"/>
      <c r="R29" s="194"/>
      <c r="S29" s="194"/>
      <c r="T29" s="194"/>
      <c r="U29" s="1"/>
    </row>
    <row r="30" spans="1:21" ht="19.5" customHeight="1" x14ac:dyDescent="0.25">
      <c r="A30" s="16"/>
      <c r="B30" s="207"/>
      <c r="C30" s="208"/>
      <c r="D30" s="208"/>
      <c r="E30" s="208"/>
      <c r="F30" s="208"/>
      <c r="G30" s="208"/>
      <c r="H30" s="208"/>
      <c r="I30" s="202"/>
      <c r="J30" s="202"/>
      <c r="K30" s="202"/>
      <c r="L30" s="32"/>
      <c r="M30" s="194"/>
      <c r="N30" s="194"/>
      <c r="O30" s="194"/>
      <c r="P30" s="194"/>
      <c r="Q30" s="194"/>
      <c r="R30" s="194"/>
      <c r="S30" s="194"/>
      <c r="T30" s="194"/>
      <c r="U30" s="1"/>
    </row>
    <row r="31" spans="1:21" ht="19.5" customHeight="1" x14ac:dyDescent="0.25">
      <c r="A31" s="16"/>
      <c r="B31" s="207"/>
      <c r="C31" s="208"/>
      <c r="D31" s="208"/>
      <c r="E31" s="208"/>
      <c r="F31" s="208"/>
      <c r="G31" s="208"/>
      <c r="H31" s="208"/>
      <c r="I31" s="209"/>
      <c r="J31" s="209"/>
      <c r="K31" s="209"/>
      <c r="L31" s="32"/>
      <c r="M31" s="194"/>
      <c r="N31" s="194"/>
      <c r="O31" s="194"/>
      <c r="P31" s="194"/>
      <c r="Q31" s="194"/>
      <c r="R31" s="194"/>
      <c r="S31" s="194"/>
      <c r="T31" s="194"/>
      <c r="U31" s="1"/>
    </row>
    <row r="32" spans="1:21" ht="19.5" customHeight="1" x14ac:dyDescent="0.25">
      <c r="A32" s="16"/>
      <c r="B32" s="190"/>
      <c r="C32" s="190"/>
      <c r="D32" s="190"/>
      <c r="E32" s="190"/>
      <c r="F32" s="190"/>
      <c r="G32" s="190"/>
      <c r="H32" s="190"/>
      <c r="I32" s="191"/>
      <c r="J32" s="192"/>
      <c r="K32" s="193"/>
      <c r="L32" s="27"/>
      <c r="M32" s="194"/>
      <c r="N32" s="194"/>
      <c r="O32" s="194"/>
      <c r="P32" s="194"/>
      <c r="Q32" s="194"/>
      <c r="R32" s="194"/>
      <c r="S32" s="194"/>
      <c r="T32" s="194"/>
      <c r="U32" s="1"/>
    </row>
    <row r="33" spans="1:21" ht="47.25" customHeight="1" x14ac:dyDescent="0.25">
      <c r="A33" s="16"/>
      <c r="B33" s="199"/>
      <c r="C33" s="200"/>
      <c r="D33" s="200"/>
      <c r="E33" s="201"/>
      <c r="F33" s="202" t="s">
        <v>17</v>
      </c>
      <c r="G33" s="202"/>
      <c r="H33" s="202"/>
      <c r="I33" s="202"/>
      <c r="J33" s="202"/>
      <c r="K33" s="202"/>
      <c r="L33" s="202"/>
      <c r="M33" s="202"/>
      <c r="N33" s="202"/>
      <c r="O33" s="202"/>
      <c r="P33" s="203"/>
      <c r="Q33" s="204"/>
      <c r="R33" s="204"/>
      <c r="S33" s="204"/>
      <c r="T33" s="205"/>
      <c r="U33" s="1"/>
    </row>
    <row r="34" spans="1:21" ht="13.5" customHeight="1" x14ac:dyDescent="0.25">
      <c r="A34" s="16"/>
      <c r="B34" s="199"/>
      <c r="C34" s="200"/>
      <c r="D34" s="200"/>
      <c r="E34" s="200"/>
      <c r="F34" s="200"/>
      <c r="G34" s="201"/>
      <c r="H34" s="206" t="s">
        <v>18</v>
      </c>
      <c r="I34" s="206"/>
      <c r="J34" s="206"/>
      <c r="K34" s="206"/>
      <c r="L34" s="206"/>
      <c r="M34" s="206"/>
      <c r="N34" s="206"/>
      <c r="O34" s="206"/>
      <c r="P34" s="203"/>
      <c r="Q34" s="204"/>
      <c r="R34" s="204"/>
      <c r="S34" s="204"/>
      <c r="T34" s="205"/>
      <c r="U34" s="1"/>
    </row>
    <row r="35" spans="1:21" ht="15" customHeight="1" x14ac:dyDescent="0.25">
      <c r="B35" s="195" t="s">
        <v>19</v>
      </c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6"/>
    </row>
    <row r="36" spans="1:21" x14ac:dyDescent="0.25">
      <c r="A36" s="17"/>
      <c r="B36" s="197"/>
      <c r="C36" s="197"/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8"/>
    </row>
    <row r="38" spans="1:21" x14ac:dyDescent="0.25">
      <c r="A38" t="s">
        <v>20</v>
      </c>
    </row>
  </sheetData>
  <mergeCells count="93">
    <mergeCell ref="B35:U36"/>
    <mergeCell ref="B33:E33"/>
    <mergeCell ref="F33:O33"/>
    <mergeCell ref="P33:T33"/>
    <mergeCell ref="B34:G34"/>
    <mergeCell ref="H34:O34"/>
    <mergeCell ref="P34:T34"/>
    <mergeCell ref="B31:H31"/>
    <mergeCell ref="I31:K31"/>
    <mergeCell ref="M31:Q31"/>
    <mergeCell ref="R31:T31"/>
    <mergeCell ref="B32:H32"/>
    <mergeCell ref="I32:K32"/>
    <mergeCell ref="M32:Q32"/>
    <mergeCell ref="R32:T32"/>
    <mergeCell ref="B29:H29"/>
    <mergeCell ref="I29:K29"/>
    <mergeCell ref="M29:Q29"/>
    <mergeCell ref="R29:T29"/>
    <mergeCell ref="B30:H30"/>
    <mergeCell ref="I30:K30"/>
    <mergeCell ref="M30:Q30"/>
    <mergeCell ref="R30:T30"/>
    <mergeCell ref="B27:H27"/>
    <mergeCell ref="I27:K27"/>
    <mergeCell ref="M27:Q27"/>
    <mergeCell ref="R27:T27"/>
    <mergeCell ref="B28:H28"/>
    <mergeCell ref="I28:K28"/>
    <mergeCell ref="M28:Q28"/>
    <mergeCell ref="R28:T28"/>
    <mergeCell ref="B25:H25"/>
    <mergeCell ref="I25:K25"/>
    <mergeCell ref="M25:Q25"/>
    <mergeCell ref="R25:T25"/>
    <mergeCell ref="B26:H26"/>
    <mergeCell ref="I26:K26"/>
    <mergeCell ref="M26:Q26"/>
    <mergeCell ref="R26:T26"/>
    <mergeCell ref="B23:H23"/>
    <mergeCell ref="I23:K23"/>
    <mergeCell ref="M23:Q23"/>
    <mergeCell ref="R23:T23"/>
    <mergeCell ref="B24:H24"/>
    <mergeCell ref="I24:K24"/>
    <mergeCell ref="M24:Q24"/>
    <mergeCell ref="R24:T24"/>
    <mergeCell ref="B21:H21"/>
    <mergeCell ref="I21:K21"/>
    <mergeCell ref="M21:Q21"/>
    <mergeCell ref="R21:T21"/>
    <mergeCell ref="B22:H22"/>
    <mergeCell ref="I22:K22"/>
    <mergeCell ref="M22:Q22"/>
    <mergeCell ref="R22:T22"/>
    <mergeCell ref="B19:H19"/>
    <mergeCell ref="I19:K19"/>
    <mergeCell ref="M19:Q19"/>
    <mergeCell ref="R19:T19"/>
    <mergeCell ref="B20:H20"/>
    <mergeCell ref="I20:K20"/>
    <mergeCell ref="M20:Q20"/>
    <mergeCell ref="R20:T20"/>
    <mergeCell ref="B14:I14"/>
    <mergeCell ref="K14:S14"/>
    <mergeCell ref="B15:I15"/>
    <mergeCell ref="B16:I16"/>
    <mergeCell ref="B18:H18"/>
    <mergeCell ref="I18:K18"/>
    <mergeCell ref="M18:Q18"/>
    <mergeCell ref="R18:T18"/>
    <mergeCell ref="B13:I13"/>
    <mergeCell ref="K13:S13"/>
    <mergeCell ref="B7:I7"/>
    <mergeCell ref="B8:I8"/>
    <mergeCell ref="B9:I9"/>
    <mergeCell ref="K9:S9"/>
    <mergeCell ref="B10:I10"/>
    <mergeCell ref="K10:S10"/>
    <mergeCell ref="B11:F11"/>
    <mergeCell ref="G11:I11"/>
    <mergeCell ref="K11:S11"/>
    <mergeCell ref="B12:I12"/>
    <mergeCell ref="K12:S12"/>
    <mergeCell ref="A5:C5"/>
    <mergeCell ref="D5:K5"/>
    <mergeCell ref="L5:P5"/>
    <mergeCell ref="Q5:U5"/>
    <mergeCell ref="A1:C3"/>
    <mergeCell ref="D1:U1"/>
    <mergeCell ref="D2:U2"/>
    <mergeCell ref="D3:U4"/>
    <mergeCell ref="A4:C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6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65272-D76D-49EB-987C-363636C3CA0B}">
  <sheetPr>
    <tabColor theme="0"/>
    <pageSetUpPr fitToPage="1"/>
  </sheetPr>
  <dimension ref="A1:X35"/>
  <sheetViews>
    <sheetView view="pageBreakPreview" topLeftCell="A19" zoomScale="90" zoomScaleNormal="100" zoomScaleSheetLayoutView="90" workbookViewId="0">
      <selection activeCell="K14" sqref="K14:S14"/>
    </sheetView>
  </sheetViews>
  <sheetFormatPr baseColWidth="10" defaultColWidth="10.7109375" defaultRowHeight="15" x14ac:dyDescent="0.25"/>
  <cols>
    <col min="1" max="1" width="2" customWidth="1"/>
    <col min="2" max="2" width="6.28515625" customWidth="1"/>
    <col min="3" max="3" width="5.7109375" customWidth="1"/>
    <col min="4" max="4" width="11.85546875" customWidth="1"/>
    <col min="5" max="5" width="3.5703125" customWidth="1"/>
    <col min="6" max="6" width="2.85546875" customWidth="1"/>
    <col min="7" max="7" width="3.28515625" customWidth="1"/>
    <col min="8" max="8" width="25.7109375" customWidth="1"/>
    <col min="9" max="9" width="5.85546875" style="20" customWidth="1"/>
    <col min="10" max="10" width="4.85546875" style="20" customWidth="1"/>
    <col min="11" max="11" width="2.5703125" style="20" customWidth="1"/>
    <col min="12" max="12" width="14" style="19" customWidth="1"/>
    <col min="13" max="13" width="1.85546875" customWidth="1"/>
    <col min="14" max="14" width="2.28515625" customWidth="1"/>
    <col min="15" max="15" width="1.85546875" customWidth="1"/>
    <col min="16" max="16" width="2.7109375" customWidth="1"/>
    <col min="17" max="17" width="6.140625" customWidth="1"/>
    <col min="18" max="18" width="3.85546875" customWidth="1"/>
    <col min="19" max="19" width="4" customWidth="1"/>
    <col min="20" max="20" width="3.28515625" customWidth="1"/>
    <col min="21" max="21" width="1.7109375" customWidth="1"/>
  </cols>
  <sheetData>
    <row r="1" spans="1:21" x14ac:dyDescent="0.25">
      <c r="A1" s="263"/>
      <c r="B1" s="263"/>
      <c r="C1" s="263"/>
      <c r="D1" s="264" t="s">
        <v>0</v>
      </c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</row>
    <row r="2" spans="1:21" x14ac:dyDescent="0.25">
      <c r="A2" s="263"/>
      <c r="B2" s="263"/>
      <c r="C2" s="263"/>
      <c r="D2" s="264" t="s">
        <v>1</v>
      </c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</row>
    <row r="3" spans="1:21" x14ac:dyDescent="0.25">
      <c r="A3" s="263"/>
      <c r="B3" s="263"/>
      <c r="C3" s="263"/>
      <c r="D3" s="264" t="s">
        <v>2</v>
      </c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4"/>
    </row>
    <row r="4" spans="1:21" x14ac:dyDescent="0.25">
      <c r="A4" s="265" t="s">
        <v>3</v>
      </c>
      <c r="B4" s="265"/>
      <c r="C4" s="265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4"/>
    </row>
    <row r="5" spans="1:21" ht="21" customHeight="1" x14ac:dyDescent="0.25">
      <c r="A5" s="242"/>
      <c r="B5" s="243"/>
      <c r="C5" s="244"/>
      <c r="D5" s="245" t="s">
        <v>4</v>
      </c>
      <c r="E5" s="246"/>
      <c r="F5" s="246"/>
      <c r="G5" s="246"/>
      <c r="H5" s="246"/>
      <c r="I5" s="246"/>
      <c r="J5" s="246"/>
      <c r="K5" s="246"/>
      <c r="L5" s="247" t="s">
        <v>5</v>
      </c>
      <c r="M5" s="247"/>
      <c r="N5" s="247"/>
      <c r="O5" s="247"/>
      <c r="P5" s="247"/>
      <c r="Q5" s="248" t="s">
        <v>21</v>
      </c>
      <c r="R5" s="248"/>
      <c r="S5" s="248"/>
      <c r="T5" s="248"/>
      <c r="U5" s="249"/>
    </row>
    <row r="6" spans="1:21" x14ac:dyDescent="0.25">
      <c r="A6" s="14"/>
      <c r="B6" s="15"/>
      <c r="C6" s="15"/>
      <c r="U6" s="1"/>
    </row>
    <row r="7" spans="1:21" x14ac:dyDescent="0.25">
      <c r="A7" s="16"/>
      <c r="B7" s="250" t="s">
        <v>6</v>
      </c>
      <c r="C7" s="251"/>
      <c r="D7" s="251"/>
      <c r="E7" s="251"/>
      <c r="F7" s="251"/>
      <c r="G7" s="251"/>
      <c r="H7" s="251"/>
      <c r="I7" s="252"/>
      <c r="J7" s="22"/>
      <c r="K7" s="22"/>
      <c r="U7" s="1"/>
    </row>
    <row r="8" spans="1:21" x14ac:dyDescent="0.25">
      <c r="A8" s="16"/>
      <c r="B8" s="253" t="s">
        <v>7</v>
      </c>
      <c r="C8" s="253"/>
      <c r="D8" s="253"/>
      <c r="E8" s="253"/>
      <c r="F8" s="253"/>
      <c r="G8" s="253"/>
      <c r="H8" s="253"/>
      <c r="I8" s="253"/>
      <c r="J8" s="23"/>
      <c r="K8" s="23"/>
      <c r="L8" s="25"/>
      <c r="M8" s="3"/>
      <c r="N8" s="3"/>
      <c r="O8" s="3"/>
      <c r="P8" s="3"/>
      <c r="Q8" s="3"/>
      <c r="R8" s="3"/>
      <c r="S8" s="3"/>
      <c r="T8" s="3"/>
      <c r="U8" s="4"/>
    </row>
    <row r="9" spans="1:21" x14ac:dyDescent="0.25">
      <c r="A9" s="16"/>
      <c r="B9" s="253" t="s">
        <v>8</v>
      </c>
      <c r="C9" s="253"/>
      <c r="D9" s="253"/>
      <c r="E9" s="253"/>
      <c r="F9" s="253"/>
      <c r="G9" s="253"/>
      <c r="H9" s="253"/>
      <c r="I9" s="253"/>
      <c r="J9" s="23"/>
      <c r="K9" s="254" t="s">
        <v>9</v>
      </c>
      <c r="L9" s="254"/>
      <c r="M9" s="254"/>
      <c r="N9" s="254"/>
      <c r="O9" s="254"/>
      <c r="P9" s="254"/>
      <c r="Q9" s="254"/>
      <c r="R9" s="254"/>
      <c r="S9" s="254"/>
      <c r="T9" s="3"/>
      <c r="U9" s="4"/>
    </row>
    <row r="10" spans="1:21" x14ac:dyDescent="0.25">
      <c r="A10" s="16"/>
      <c r="B10" s="253" t="s">
        <v>10</v>
      </c>
      <c r="C10" s="253"/>
      <c r="D10" s="253"/>
      <c r="E10" s="253"/>
      <c r="F10" s="253"/>
      <c r="G10" s="253"/>
      <c r="H10" s="253"/>
      <c r="I10" s="253"/>
      <c r="J10" s="22"/>
      <c r="K10" s="255" t="s">
        <v>11</v>
      </c>
      <c r="L10" s="255"/>
      <c r="M10" s="255"/>
      <c r="N10" s="255"/>
      <c r="O10" s="255"/>
      <c r="P10" s="255"/>
      <c r="Q10" s="255"/>
      <c r="R10" s="255"/>
      <c r="S10" s="255"/>
      <c r="T10" s="2"/>
      <c r="U10" s="1"/>
    </row>
    <row r="11" spans="1:21" ht="35.25" customHeight="1" x14ac:dyDescent="0.25">
      <c r="A11" s="5"/>
      <c r="B11" s="256" t="s">
        <v>170</v>
      </c>
      <c r="C11" s="257"/>
      <c r="D11" s="257"/>
      <c r="E11" s="257"/>
      <c r="F11" s="258"/>
      <c r="G11" s="239" t="s">
        <v>321</v>
      </c>
      <c r="H11" s="237"/>
      <c r="I11" s="238"/>
      <c r="J11" s="23"/>
      <c r="K11" s="260" t="s">
        <v>28</v>
      </c>
      <c r="L11" s="261"/>
      <c r="M11" s="261"/>
      <c r="N11" s="261"/>
      <c r="O11" s="261"/>
      <c r="P11" s="261"/>
      <c r="Q11" s="261"/>
      <c r="R11" s="261"/>
      <c r="S11" s="262"/>
      <c r="T11" s="12"/>
      <c r="U11" s="6"/>
    </row>
    <row r="12" spans="1:21" ht="15" customHeight="1" x14ac:dyDescent="0.25">
      <c r="A12" s="5"/>
      <c r="B12" s="239" t="s">
        <v>22</v>
      </c>
      <c r="C12" s="240"/>
      <c r="D12" s="240"/>
      <c r="E12" s="240"/>
      <c r="F12" s="240"/>
      <c r="G12" s="240"/>
      <c r="H12" s="240"/>
      <c r="I12" s="241"/>
      <c r="J12" s="23"/>
      <c r="K12" s="225" t="s">
        <v>25</v>
      </c>
      <c r="L12" s="226"/>
      <c r="M12" s="226"/>
      <c r="N12" s="226"/>
      <c r="O12" s="226"/>
      <c r="P12" s="226"/>
      <c r="Q12" s="226"/>
      <c r="R12" s="226"/>
      <c r="S12" s="227"/>
      <c r="T12" s="12"/>
      <c r="U12" s="6"/>
    </row>
    <row r="13" spans="1:21" x14ac:dyDescent="0.25">
      <c r="A13" s="5"/>
      <c r="B13" s="236" t="s">
        <v>27</v>
      </c>
      <c r="C13" s="237"/>
      <c r="D13" s="237"/>
      <c r="E13" s="237"/>
      <c r="F13" s="237"/>
      <c r="G13" s="237"/>
      <c r="H13" s="237"/>
      <c r="I13" s="238"/>
      <c r="J13" s="24"/>
      <c r="K13" s="225" t="s">
        <v>249</v>
      </c>
      <c r="L13" s="226"/>
      <c r="M13" s="226"/>
      <c r="N13" s="226"/>
      <c r="O13" s="226"/>
      <c r="P13" s="226"/>
      <c r="Q13" s="226"/>
      <c r="R13" s="226"/>
      <c r="S13" s="227"/>
      <c r="T13" s="3"/>
      <c r="U13" s="4"/>
    </row>
    <row r="14" spans="1:21" ht="30" customHeight="1" x14ac:dyDescent="0.25">
      <c r="A14" s="5"/>
      <c r="B14" s="222" t="s">
        <v>26</v>
      </c>
      <c r="C14" s="223"/>
      <c r="D14" s="223"/>
      <c r="E14" s="223"/>
      <c r="F14" s="223"/>
      <c r="G14" s="223"/>
      <c r="H14" s="223"/>
      <c r="I14" s="224"/>
      <c r="J14" s="21"/>
      <c r="K14" s="225" t="s">
        <v>195</v>
      </c>
      <c r="L14" s="226"/>
      <c r="M14" s="226"/>
      <c r="N14" s="226"/>
      <c r="O14" s="226"/>
      <c r="P14" s="226"/>
      <c r="Q14" s="226"/>
      <c r="R14" s="226"/>
      <c r="S14" s="227"/>
      <c r="T14" s="7"/>
      <c r="U14" s="8"/>
    </row>
    <row r="15" spans="1:21" ht="15" customHeight="1" x14ac:dyDescent="0.25">
      <c r="A15" s="5"/>
      <c r="B15" s="228" t="s">
        <v>23</v>
      </c>
      <c r="C15" s="229"/>
      <c r="D15" s="229"/>
      <c r="E15" s="229"/>
      <c r="F15" s="229"/>
      <c r="G15" s="229"/>
      <c r="H15" s="229"/>
      <c r="I15" s="230"/>
      <c r="J15" s="21"/>
      <c r="K15" s="23"/>
      <c r="L15" s="25"/>
      <c r="M15" s="13"/>
      <c r="N15" s="13"/>
      <c r="O15" s="13"/>
      <c r="P15" s="13"/>
      <c r="Q15" s="13"/>
      <c r="R15" s="13"/>
      <c r="S15" s="13"/>
      <c r="T15" s="7"/>
      <c r="U15" s="8"/>
    </row>
    <row r="16" spans="1:21" x14ac:dyDescent="0.25">
      <c r="A16" s="9"/>
      <c r="B16" s="231" t="s">
        <v>24</v>
      </c>
      <c r="C16" s="232"/>
      <c r="D16" s="232"/>
      <c r="E16" s="232"/>
      <c r="F16" s="232"/>
      <c r="G16" s="232"/>
      <c r="H16" s="232"/>
      <c r="I16" s="233"/>
      <c r="J16" s="22"/>
      <c r="K16" s="22"/>
      <c r="L16" s="26"/>
      <c r="M16" s="2"/>
      <c r="N16" s="10"/>
      <c r="O16" s="10"/>
      <c r="P16" s="10"/>
      <c r="Q16" s="10"/>
      <c r="R16" s="10"/>
      <c r="S16" s="10"/>
      <c r="T16" s="2"/>
      <c r="U16" s="1"/>
    </row>
    <row r="17" spans="1:24" x14ac:dyDescent="0.25">
      <c r="A17" s="16"/>
      <c r="B17" s="11"/>
      <c r="C17" s="11"/>
      <c r="D17" s="11"/>
      <c r="E17" s="11"/>
      <c r="F17" s="11"/>
      <c r="G17" s="7"/>
      <c r="H17" s="7"/>
      <c r="I17" s="21"/>
      <c r="J17" s="22"/>
      <c r="K17" s="22"/>
      <c r="L17" s="26"/>
      <c r="M17" s="2"/>
      <c r="N17" s="10"/>
      <c r="O17" s="10"/>
      <c r="P17" s="10"/>
      <c r="Q17" s="10"/>
      <c r="R17" s="10"/>
      <c r="S17" s="10"/>
      <c r="T17" s="2"/>
      <c r="U17" s="1"/>
    </row>
    <row r="18" spans="1:24" x14ac:dyDescent="0.25">
      <c r="A18" s="16"/>
      <c r="B18" s="234" t="s">
        <v>12</v>
      </c>
      <c r="C18" s="234"/>
      <c r="D18" s="234"/>
      <c r="E18" s="234"/>
      <c r="F18" s="234"/>
      <c r="G18" s="234"/>
      <c r="H18" s="234"/>
      <c r="I18" s="235" t="s">
        <v>13</v>
      </c>
      <c r="J18" s="235"/>
      <c r="K18" s="235"/>
      <c r="L18" s="18" t="s">
        <v>14</v>
      </c>
      <c r="M18" s="194" t="s">
        <v>15</v>
      </c>
      <c r="N18" s="194"/>
      <c r="O18" s="194"/>
      <c r="P18" s="194"/>
      <c r="Q18" s="194"/>
      <c r="R18" s="194" t="s">
        <v>16</v>
      </c>
      <c r="S18" s="194"/>
      <c r="T18" s="194"/>
      <c r="U18" s="1"/>
    </row>
    <row r="19" spans="1:24" s="31" customFormat="1" ht="27" customHeight="1" x14ac:dyDescent="0.25">
      <c r="A19" s="28"/>
      <c r="B19" s="306" t="s">
        <v>56</v>
      </c>
      <c r="C19" s="307"/>
      <c r="D19" s="307"/>
      <c r="E19" s="307"/>
      <c r="F19" s="307"/>
      <c r="G19" s="307"/>
      <c r="H19" s="308"/>
      <c r="I19" s="211">
        <v>24</v>
      </c>
      <c r="J19" s="212"/>
      <c r="K19" s="213"/>
      <c r="L19" s="29" t="s">
        <v>29</v>
      </c>
      <c r="M19" s="214"/>
      <c r="N19" s="214"/>
      <c r="O19" s="214"/>
      <c r="P19" s="214"/>
      <c r="Q19" s="214"/>
      <c r="R19" s="214"/>
      <c r="S19" s="214"/>
      <c r="T19" s="214"/>
      <c r="U19" s="30"/>
      <c r="V19" s="211"/>
      <c r="W19" s="212"/>
      <c r="X19" s="213"/>
    </row>
    <row r="20" spans="1:24" s="34" customFormat="1" ht="24" customHeight="1" x14ac:dyDescent="0.25">
      <c r="A20" s="69"/>
      <c r="B20" s="210" t="s">
        <v>68</v>
      </c>
      <c r="C20" s="210"/>
      <c r="D20" s="210"/>
      <c r="E20" s="210"/>
      <c r="F20" s="210"/>
      <c r="G20" s="210"/>
      <c r="H20" s="210"/>
      <c r="I20" s="211">
        <v>5</v>
      </c>
      <c r="J20" s="212"/>
      <c r="K20" s="213"/>
      <c r="L20" s="29" t="s">
        <v>29</v>
      </c>
      <c r="M20" s="214"/>
      <c r="N20" s="214"/>
      <c r="O20" s="214"/>
      <c r="P20" s="214"/>
      <c r="Q20" s="214"/>
      <c r="R20" s="214"/>
      <c r="S20" s="214"/>
      <c r="T20" s="214"/>
      <c r="U20" s="70"/>
      <c r="V20" s="211"/>
      <c r="W20" s="212"/>
      <c r="X20" s="213"/>
    </row>
    <row r="21" spans="1:24" ht="19.5" customHeight="1" x14ac:dyDescent="0.25">
      <c r="A21" s="16"/>
      <c r="B21" s="190" t="s">
        <v>76</v>
      </c>
      <c r="C21" s="190"/>
      <c r="D21" s="190"/>
      <c r="E21" s="190"/>
      <c r="F21" s="190"/>
      <c r="G21" s="190"/>
      <c r="H21" s="190"/>
      <c r="I21" s="191">
        <v>1</v>
      </c>
      <c r="J21" s="192"/>
      <c r="K21" s="193"/>
      <c r="L21" s="27" t="s">
        <v>29</v>
      </c>
      <c r="M21" s="194"/>
      <c r="N21" s="194"/>
      <c r="O21" s="194"/>
      <c r="P21" s="194"/>
      <c r="Q21" s="194"/>
      <c r="R21" s="194"/>
      <c r="S21" s="194"/>
      <c r="T21" s="194"/>
      <c r="U21" s="1"/>
      <c r="V21" s="191"/>
      <c r="W21" s="192"/>
      <c r="X21" s="193"/>
    </row>
    <row r="22" spans="1:24" ht="19.5" customHeight="1" x14ac:dyDescent="0.25">
      <c r="A22" s="16"/>
      <c r="B22" s="190" t="s">
        <v>77</v>
      </c>
      <c r="C22" s="190"/>
      <c r="D22" s="190"/>
      <c r="E22" s="190"/>
      <c r="F22" s="190"/>
      <c r="G22" s="190"/>
      <c r="H22" s="190"/>
      <c r="I22" s="191">
        <v>24</v>
      </c>
      <c r="J22" s="192"/>
      <c r="K22" s="193"/>
      <c r="L22" s="27" t="s">
        <v>29</v>
      </c>
      <c r="M22" s="194"/>
      <c r="N22" s="194"/>
      <c r="O22" s="194"/>
      <c r="P22" s="194"/>
      <c r="Q22" s="194"/>
      <c r="R22" s="194"/>
      <c r="S22" s="194"/>
      <c r="T22" s="194"/>
      <c r="U22" s="1"/>
      <c r="V22" s="191"/>
      <c r="W22" s="192"/>
      <c r="X22" s="193"/>
    </row>
    <row r="23" spans="1:24" ht="19.5" customHeight="1" x14ac:dyDescent="0.25">
      <c r="A23" s="16"/>
      <c r="B23" s="190" t="s">
        <v>250</v>
      </c>
      <c r="C23" s="190"/>
      <c r="D23" s="190"/>
      <c r="E23" s="190"/>
      <c r="F23" s="190"/>
      <c r="G23" s="190"/>
      <c r="H23" s="190"/>
      <c r="I23" s="191">
        <v>24</v>
      </c>
      <c r="J23" s="192"/>
      <c r="K23" s="193"/>
      <c r="L23" s="27" t="s">
        <v>29</v>
      </c>
      <c r="M23" s="194"/>
      <c r="N23" s="194"/>
      <c r="O23" s="194"/>
      <c r="P23" s="194"/>
      <c r="Q23" s="194"/>
      <c r="R23" s="194"/>
      <c r="S23" s="194"/>
      <c r="T23" s="194"/>
      <c r="U23" s="1"/>
      <c r="V23" s="120"/>
      <c r="W23" s="121"/>
      <c r="X23" s="122"/>
    </row>
    <row r="24" spans="1:24" ht="27.75" customHeight="1" x14ac:dyDescent="0.25">
      <c r="A24" s="16"/>
      <c r="B24" s="190" t="s">
        <v>120</v>
      </c>
      <c r="C24" s="190"/>
      <c r="D24" s="190"/>
      <c r="E24" s="190"/>
      <c r="F24" s="190"/>
      <c r="G24" s="190"/>
      <c r="H24" s="190"/>
      <c r="I24" s="191">
        <v>36</v>
      </c>
      <c r="J24" s="192"/>
      <c r="K24" s="193"/>
      <c r="L24" s="27" t="s">
        <v>29</v>
      </c>
      <c r="M24" s="194"/>
      <c r="N24" s="194"/>
      <c r="O24" s="194"/>
      <c r="P24" s="194"/>
      <c r="Q24" s="194"/>
      <c r="R24" s="194"/>
      <c r="S24" s="194"/>
      <c r="T24" s="194"/>
      <c r="U24" s="1"/>
      <c r="V24" s="191"/>
      <c r="W24" s="192"/>
      <c r="X24" s="193"/>
    </row>
    <row r="25" spans="1:24" ht="19.5" customHeight="1" x14ac:dyDescent="0.25">
      <c r="A25" s="16"/>
      <c r="B25" s="190" t="s">
        <v>126</v>
      </c>
      <c r="C25" s="190"/>
      <c r="D25" s="190"/>
      <c r="E25" s="190"/>
      <c r="F25" s="190"/>
      <c r="G25" s="190"/>
      <c r="H25" s="190"/>
      <c r="I25" s="191">
        <v>10</v>
      </c>
      <c r="J25" s="192"/>
      <c r="K25" s="193"/>
      <c r="L25" s="27" t="s">
        <v>29</v>
      </c>
      <c r="M25" s="194"/>
      <c r="N25" s="194"/>
      <c r="O25" s="194"/>
      <c r="P25" s="194"/>
      <c r="Q25" s="194"/>
      <c r="R25" s="194"/>
      <c r="S25" s="194"/>
      <c r="T25" s="194"/>
      <c r="U25" s="1"/>
      <c r="V25" s="191"/>
      <c r="W25" s="192"/>
      <c r="X25" s="193"/>
    </row>
    <row r="26" spans="1:24" ht="18.75" customHeight="1" x14ac:dyDescent="0.25">
      <c r="A26" s="16"/>
      <c r="B26" s="306" t="s">
        <v>64</v>
      </c>
      <c r="C26" s="307"/>
      <c r="D26" s="307"/>
      <c r="E26" s="307"/>
      <c r="F26" s="307"/>
      <c r="G26" s="307"/>
      <c r="H26" s="308"/>
      <c r="I26" s="211">
        <v>1</v>
      </c>
      <c r="J26" s="212"/>
      <c r="K26" s="213"/>
      <c r="L26" s="29" t="s">
        <v>29</v>
      </c>
      <c r="M26" s="194"/>
      <c r="N26" s="194"/>
      <c r="O26" s="194"/>
      <c r="P26" s="194"/>
      <c r="Q26" s="194"/>
      <c r="R26" s="194"/>
      <c r="S26" s="194"/>
      <c r="T26" s="194"/>
      <c r="U26" s="1"/>
    </row>
    <row r="27" spans="1:24" ht="19.5" customHeight="1" x14ac:dyDescent="0.25">
      <c r="A27" s="16"/>
      <c r="B27" s="207" t="s">
        <v>132</v>
      </c>
      <c r="C27" s="208"/>
      <c r="D27" s="208"/>
      <c r="E27" s="208"/>
      <c r="F27" s="208"/>
      <c r="G27" s="208"/>
      <c r="H27" s="208"/>
      <c r="I27" s="202">
        <v>20</v>
      </c>
      <c r="J27" s="202"/>
      <c r="K27" s="202"/>
      <c r="L27" s="32" t="s">
        <v>29</v>
      </c>
      <c r="M27" s="194"/>
      <c r="N27" s="194"/>
      <c r="O27" s="194"/>
      <c r="P27" s="194"/>
      <c r="Q27" s="194"/>
      <c r="R27" s="194"/>
      <c r="S27" s="194"/>
      <c r="T27" s="194"/>
      <c r="U27" s="1"/>
    </row>
    <row r="28" spans="1:24" ht="19.5" customHeight="1" x14ac:dyDescent="0.25">
      <c r="A28" s="16"/>
      <c r="B28" s="190" t="s">
        <v>251</v>
      </c>
      <c r="C28" s="190"/>
      <c r="D28" s="190"/>
      <c r="E28" s="190"/>
      <c r="F28" s="190"/>
      <c r="G28" s="190"/>
      <c r="H28" s="190"/>
      <c r="I28" s="209">
        <v>2</v>
      </c>
      <c r="J28" s="209"/>
      <c r="K28" s="209"/>
      <c r="L28" s="32" t="s">
        <v>29</v>
      </c>
      <c r="M28" s="194"/>
      <c r="N28" s="194"/>
      <c r="O28" s="194"/>
      <c r="P28" s="194"/>
      <c r="Q28" s="194"/>
      <c r="R28" s="194"/>
      <c r="S28" s="194"/>
      <c r="T28" s="194"/>
      <c r="U28" s="1"/>
    </row>
    <row r="29" spans="1:24" ht="19.5" customHeight="1" x14ac:dyDescent="0.25">
      <c r="A29" s="16"/>
      <c r="B29" s="190" t="s">
        <v>252</v>
      </c>
      <c r="C29" s="190"/>
      <c r="D29" s="190"/>
      <c r="E29" s="190"/>
      <c r="F29" s="190"/>
      <c r="G29" s="190"/>
      <c r="H29" s="190"/>
      <c r="I29" s="191">
        <v>1</v>
      </c>
      <c r="J29" s="192"/>
      <c r="K29" s="193"/>
      <c r="L29" s="27" t="s">
        <v>121</v>
      </c>
      <c r="M29" s="194"/>
      <c r="N29" s="194"/>
      <c r="O29" s="194"/>
      <c r="P29" s="194"/>
      <c r="Q29" s="194"/>
      <c r="R29" s="194"/>
      <c r="S29" s="194"/>
      <c r="T29" s="194"/>
      <c r="U29" s="1"/>
    </row>
    <row r="30" spans="1:24" ht="47.25" customHeight="1" x14ac:dyDescent="0.25">
      <c r="A30" s="16"/>
      <c r="B30" s="199"/>
      <c r="C30" s="200"/>
      <c r="D30" s="200"/>
      <c r="E30" s="201"/>
      <c r="F30" s="202" t="s">
        <v>17</v>
      </c>
      <c r="G30" s="202"/>
      <c r="H30" s="202"/>
      <c r="I30" s="202"/>
      <c r="J30" s="202"/>
      <c r="K30" s="202"/>
      <c r="L30" s="202"/>
      <c r="M30" s="202"/>
      <c r="N30" s="202"/>
      <c r="O30" s="202"/>
      <c r="P30" s="203"/>
      <c r="Q30" s="204"/>
      <c r="R30" s="204"/>
      <c r="S30" s="204"/>
      <c r="T30" s="205"/>
      <c r="U30" s="1"/>
    </row>
    <row r="31" spans="1:24" ht="13.5" customHeight="1" x14ac:dyDescent="0.25">
      <c r="A31" s="16"/>
      <c r="B31" s="199"/>
      <c r="C31" s="200"/>
      <c r="D31" s="200"/>
      <c r="E31" s="200"/>
      <c r="F31" s="200"/>
      <c r="G31" s="201"/>
      <c r="H31" s="206" t="s">
        <v>18</v>
      </c>
      <c r="I31" s="206"/>
      <c r="J31" s="206"/>
      <c r="K31" s="206"/>
      <c r="L31" s="206"/>
      <c r="M31" s="206"/>
      <c r="N31" s="206"/>
      <c r="O31" s="206"/>
      <c r="P31" s="203"/>
      <c r="Q31" s="204"/>
      <c r="R31" s="204"/>
      <c r="S31" s="204"/>
      <c r="T31" s="205"/>
      <c r="U31" s="1"/>
    </row>
    <row r="32" spans="1:24" ht="15" customHeight="1" x14ac:dyDescent="0.25">
      <c r="B32" s="195" t="s">
        <v>19</v>
      </c>
      <c r="C32" s="195"/>
      <c r="D32" s="195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6"/>
    </row>
    <row r="33" spans="1:21" x14ac:dyDescent="0.25">
      <c r="A33" s="17"/>
      <c r="B33" s="197"/>
      <c r="C33" s="197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8"/>
    </row>
    <row r="35" spans="1:21" x14ac:dyDescent="0.25">
      <c r="A35" t="s">
        <v>20</v>
      </c>
    </row>
  </sheetData>
  <mergeCells count="87">
    <mergeCell ref="V25:X25"/>
    <mergeCell ref="B30:E30"/>
    <mergeCell ref="F30:O30"/>
    <mergeCell ref="P30:T30"/>
    <mergeCell ref="B31:G31"/>
    <mergeCell ref="H31:O31"/>
    <mergeCell ref="P31:T31"/>
    <mergeCell ref="B28:H28"/>
    <mergeCell ref="B29:H29"/>
    <mergeCell ref="I29:K29"/>
    <mergeCell ref="M29:Q29"/>
    <mergeCell ref="R29:T29"/>
    <mergeCell ref="B25:H25"/>
    <mergeCell ref="I25:K25"/>
    <mergeCell ref="M25:Q25"/>
    <mergeCell ref="R25:T25"/>
    <mergeCell ref="V19:X19"/>
    <mergeCell ref="V20:X20"/>
    <mergeCell ref="V21:X21"/>
    <mergeCell ref="V22:X22"/>
    <mergeCell ref="V24:X24"/>
    <mergeCell ref="B32:U33"/>
    <mergeCell ref="B27:H27"/>
    <mergeCell ref="I27:K27"/>
    <mergeCell ref="M27:Q27"/>
    <mergeCell ref="R27:T27"/>
    <mergeCell ref="I28:K28"/>
    <mergeCell ref="M28:Q28"/>
    <mergeCell ref="R28:T28"/>
    <mergeCell ref="B26:H26"/>
    <mergeCell ref="I26:K26"/>
    <mergeCell ref="M26:Q26"/>
    <mergeCell ref="R26:T26"/>
    <mergeCell ref="B22:H22"/>
    <mergeCell ref="I22:K22"/>
    <mergeCell ref="M22:Q22"/>
    <mergeCell ref="R22:T22"/>
    <mergeCell ref="B24:H24"/>
    <mergeCell ref="I24:K24"/>
    <mergeCell ref="M24:Q24"/>
    <mergeCell ref="R24:T24"/>
    <mergeCell ref="B23:H23"/>
    <mergeCell ref="I23:K23"/>
    <mergeCell ref="M23:Q23"/>
    <mergeCell ref="R23:T23"/>
    <mergeCell ref="B20:H20"/>
    <mergeCell ref="I20:K20"/>
    <mergeCell ref="M20:Q20"/>
    <mergeCell ref="R20:T20"/>
    <mergeCell ref="B21:H21"/>
    <mergeCell ref="I21:K21"/>
    <mergeCell ref="M21:Q21"/>
    <mergeCell ref="R21:T21"/>
    <mergeCell ref="B19:H19"/>
    <mergeCell ref="I19:K19"/>
    <mergeCell ref="M19:Q19"/>
    <mergeCell ref="R19:T19"/>
    <mergeCell ref="B14:I14"/>
    <mergeCell ref="K14:S14"/>
    <mergeCell ref="B15:I15"/>
    <mergeCell ref="B16:I16"/>
    <mergeCell ref="B18:H18"/>
    <mergeCell ref="I18:K18"/>
    <mergeCell ref="M18:Q18"/>
    <mergeCell ref="R18:T18"/>
    <mergeCell ref="B13:I13"/>
    <mergeCell ref="K13:S13"/>
    <mergeCell ref="B7:I7"/>
    <mergeCell ref="B8:I8"/>
    <mergeCell ref="B9:I9"/>
    <mergeCell ref="K9:S9"/>
    <mergeCell ref="B10:I10"/>
    <mergeCell ref="K10:S10"/>
    <mergeCell ref="B11:F11"/>
    <mergeCell ref="G11:I11"/>
    <mergeCell ref="K11:S11"/>
    <mergeCell ref="B12:I12"/>
    <mergeCell ref="K12:S12"/>
    <mergeCell ref="A5:C5"/>
    <mergeCell ref="D5:K5"/>
    <mergeCell ref="L5:P5"/>
    <mergeCell ref="Q5:U5"/>
    <mergeCell ref="A1:C3"/>
    <mergeCell ref="D1:U1"/>
    <mergeCell ref="D2:U2"/>
    <mergeCell ref="D3:U4"/>
    <mergeCell ref="A4:C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5064654631AB4C9FB54BC445B1763F" ma:contentTypeVersion="3" ma:contentTypeDescription="Crear nuevo documento." ma:contentTypeScope="" ma:versionID="36c5539c5d84dcde08d0e2f26647ccc5">
  <xsd:schema xmlns:xsd="http://www.w3.org/2001/XMLSchema" xmlns:xs="http://www.w3.org/2001/XMLSchema" xmlns:p="http://schemas.microsoft.com/office/2006/metadata/properties" xmlns:ns2="0d6cabc4-41a0-46d2-9cb2-8f0d823f8482" targetNamespace="http://schemas.microsoft.com/office/2006/metadata/properties" ma:root="true" ma:fieldsID="4f7aacd42235e7e6da990186b284e0fb" ns2:_="">
    <xsd:import namespace="0d6cabc4-41a0-46d2-9cb2-8f0d823f84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cabc4-41a0-46d2-9cb2-8f0d823f84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7DEE1F-C5DD-433B-A61C-ED8A604C569A}"/>
</file>

<file path=customXml/itemProps2.xml><?xml version="1.0" encoding="utf-8"?>
<ds:datastoreItem xmlns:ds="http://schemas.openxmlformats.org/officeDocument/2006/customXml" ds:itemID="{79D358ED-FB6A-42E1-B5B0-E3E9A327BE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C66DCC-C35F-4FAA-990C-C2FFFEC9CAD4}">
  <ds:schemaRefs>
    <ds:schemaRef ds:uri="http://schemas.microsoft.com/office/2006/metadata/properties"/>
    <ds:schemaRef ds:uri="http://www.w3.org/XML/1998/namespace"/>
    <ds:schemaRef ds:uri="2f6bb74d-c066-4d83-b0af-8c40927a3816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11</vt:i4>
      </vt:variant>
    </vt:vector>
  </HeadingPairs>
  <TitlesOfParts>
    <vt:vector size="26" baseType="lpstr">
      <vt:lpstr>2-2024</vt:lpstr>
      <vt:lpstr>1-2025</vt:lpstr>
      <vt:lpstr>2-2025</vt:lpstr>
      <vt:lpstr>1-2026</vt:lpstr>
      <vt:lpstr>SAL01</vt:lpstr>
      <vt:lpstr>SAL02</vt:lpstr>
      <vt:lpstr>SAL 03</vt:lpstr>
      <vt:lpstr>SAL 04</vt:lpstr>
      <vt:lpstr>SAL 05</vt:lpstr>
      <vt:lpstr>SAL 06</vt:lpstr>
      <vt:lpstr>SAL 07</vt:lpstr>
      <vt:lpstr>SAL 08</vt:lpstr>
      <vt:lpstr>SAL 09</vt:lpstr>
      <vt:lpstr>SAL 10</vt:lpstr>
      <vt:lpstr>SAL 11</vt:lpstr>
      <vt:lpstr>'SAL 03'!Área_de_impresión</vt:lpstr>
      <vt:lpstr>'SAL 04'!Área_de_impresión</vt:lpstr>
      <vt:lpstr>'SAL 05'!Área_de_impresión</vt:lpstr>
      <vt:lpstr>'SAL 06'!Área_de_impresión</vt:lpstr>
      <vt:lpstr>'SAL 07'!Área_de_impresión</vt:lpstr>
      <vt:lpstr>'SAL 08'!Área_de_impresión</vt:lpstr>
      <vt:lpstr>'SAL 09'!Área_de_impresión</vt:lpstr>
      <vt:lpstr>'SAL 10'!Área_de_impresión</vt:lpstr>
      <vt:lpstr>'SAL 11'!Área_de_impresión</vt:lpstr>
      <vt:lpstr>'SAL01'!Área_de_impresión</vt:lpstr>
      <vt:lpstr>'SAL02'!Área_de_impresión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Sara Perez Yanez</cp:lastModifiedBy>
  <cp:revision/>
  <cp:lastPrinted>2026-03-06T15:59:49Z</cp:lastPrinted>
  <dcterms:created xsi:type="dcterms:W3CDTF">2013-03-15T18:50:55Z</dcterms:created>
  <dcterms:modified xsi:type="dcterms:W3CDTF">2026-03-06T15:59:50Z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0x010100275064654631AB4C9FB54BC445B1763F</vt:lpwstr>
  </property>
</Properties>
</file>