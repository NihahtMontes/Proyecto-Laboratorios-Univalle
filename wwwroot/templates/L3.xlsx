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univalleedu-my.sharepoint.com/personal/sperezy_univalle_edu/Documents/Documentos/SIG LAB GASTRONOMIA/0. Gestion Laboratorios/Formulario L-3 Equipos y materiales/9 GESTION 1-26/"/>
    </mc:Choice>
  </mc:AlternateContent>
  <xr:revisionPtr revIDLastSave="0" documentId="8_{F7932714-1A20-47FD-9CB2-E280B6A40E02}" xr6:coauthVersionLast="47" xr6:coauthVersionMax="47" xr10:uidLastSave="{00000000-0000-0000-0000-000000000000}"/>
  <bookViews>
    <workbookView xWindow="-120" yWindow="-120" windowWidth="24240" windowHeight="13140" tabRatio="1000" xr2:uid="{00000000-000D-0000-FFFF-FFFF00000000}"/>
  </bookViews>
  <sheets>
    <sheet name="L3" sheetId="51" r:id="rId1"/>
    <sheet name="SAL01" sheetId="49" state="hidden" r:id="rId2"/>
    <sheet name="SAL02" sheetId="52" state="hidden" r:id="rId3"/>
    <sheet name="SAL 11" sheetId="67" state="hidden" r:id="rId4"/>
  </sheets>
  <definedNames>
    <definedName name="_xlnm._FilterDatabase" localSheetId="0" hidden="1">'L3'!$A$1:$H$111</definedName>
    <definedName name="_xlnm.Print_Area" localSheetId="3">'SAL 11'!$A$1:$U$36</definedName>
    <definedName name="_xlnm.Print_Area" localSheetId="1">'SAL01'!$A$1:$U$38</definedName>
    <definedName name="_xlnm.Print_Area" localSheetId="2">'SAL02'!$A$1:$U$45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3" i="51" l="1"/>
  <c r="AH4" i="51"/>
  <c r="AH5" i="51"/>
  <c r="AH6" i="51"/>
  <c r="AH7" i="51"/>
  <c r="AH8" i="51"/>
  <c r="AH9" i="51"/>
  <c r="AH10" i="51"/>
  <c r="AH11" i="51"/>
  <c r="AH12" i="51"/>
  <c r="AH13" i="51"/>
  <c r="AH14" i="51"/>
  <c r="AH15" i="51"/>
  <c r="AH16" i="51"/>
  <c r="AH17" i="51"/>
  <c r="AH18" i="51"/>
  <c r="AH19" i="51"/>
  <c r="AH20" i="51"/>
  <c r="AH21" i="51"/>
  <c r="AH22" i="51"/>
  <c r="AH23" i="51"/>
  <c r="AH24" i="51"/>
  <c r="AH25" i="51"/>
  <c r="AH26" i="51"/>
  <c r="AH27" i="51"/>
  <c r="AH28" i="51"/>
  <c r="AH29" i="51"/>
  <c r="AH30" i="51"/>
  <c r="AH31" i="51"/>
  <c r="AH32" i="51"/>
  <c r="AH33" i="51"/>
  <c r="AH34" i="51"/>
  <c r="AH35" i="51"/>
  <c r="AH36" i="51"/>
  <c r="AH37" i="51"/>
  <c r="AH38" i="51"/>
  <c r="AH39" i="51"/>
  <c r="AH40" i="51"/>
  <c r="AH41" i="51"/>
  <c r="AH42" i="51"/>
  <c r="AH43" i="51"/>
  <c r="AH44" i="51"/>
  <c r="AH45" i="51"/>
  <c r="AH46" i="51"/>
  <c r="AH47" i="51"/>
  <c r="AH48" i="51"/>
  <c r="AH49" i="51"/>
  <c r="AH50" i="51"/>
  <c r="AH51" i="51"/>
  <c r="AH52" i="51"/>
  <c r="AH53" i="51"/>
  <c r="AH54" i="51"/>
  <c r="AH55" i="51"/>
  <c r="AH56" i="51"/>
  <c r="AH57" i="51"/>
  <c r="AH58" i="51"/>
  <c r="AH59" i="51"/>
  <c r="AH60" i="51"/>
  <c r="AH61" i="51"/>
  <c r="AH62" i="51"/>
  <c r="AH63" i="51"/>
  <c r="AH64" i="51"/>
  <c r="AH65" i="51"/>
  <c r="AH66" i="51"/>
  <c r="AH67" i="51"/>
  <c r="AH68" i="51"/>
  <c r="AH69" i="51"/>
  <c r="AH70" i="51"/>
  <c r="AH71" i="51"/>
  <c r="AH72" i="51"/>
  <c r="AH73" i="51"/>
  <c r="AH74" i="51"/>
  <c r="AH75" i="51"/>
  <c r="AH76" i="51"/>
  <c r="AH77" i="51"/>
  <c r="AH78" i="51"/>
  <c r="AH79" i="51"/>
  <c r="AH80" i="51"/>
  <c r="AH81" i="51"/>
  <c r="AH82" i="51"/>
  <c r="AH83" i="51"/>
  <c r="AH84" i="51"/>
  <c r="AH85" i="51"/>
  <c r="AH86" i="51"/>
  <c r="AH87" i="51"/>
  <c r="AH88" i="51"/>
  <c r="AH89" i="51"/>
  <c r="AH90" i="51"/>
  <c r="AH91" i="51"/>
  <c r="AH92" i="51"/>
  <c r="AH93" i="51"/>
  <c r="AH94" i="51"/>
  <c r="AH95" i="51"/>
  <c r="AH96" i="51"/>
  <c r="AH97" i="51"/>
  <c r="AH98" i="51"/>
  <c r="AH99" i="51"/>
  <c r="AH100" i="51"/>
  <c r="AH101" i="51"/>
  <c r="AH102" i="51"/>
  <c r="AH103" i="51"/>
  <c r="AH104" i="51"/>
  <c r="AH105" i="51"/>
  <c r="AH106" i="51"/>
  <c r="AH107" i="51"/>
  <c r="AH108" i="51"/>
  <c r="AH109" i="51"/>
  <c r="AH110" i="51"/>
  <c r="AH111" i="51"/>
  <c r="AH2" i="51"/>
  <c r="B119" i="51" l="1"/>
  <c r="D119" i="51" s="1"/>
  <c r="B118" i="51"/>
  <c r="D118" i="51" s="1"/>
  <c r="B117" i="51"/>
  <c r="D117" i="51" s="1"/>
  <c r="A105" i="51"/>
  <c r="A106" i="51" s="1"/>
  <c r="A107" i="51" s="1"/>
  <c r="A108" i="51" s="1"/>
  <c r="A109" i="51" s="1"/>
  <c r="A110" i="51" s="1"/>
  <c r="A111" i="51" s="1"/>
  <c r="A93" i="51"/>
  <c r="A94" i="51" s="1"/>
  <c r="A95" i="51" s="1"/>
  <c r="A96" i="51" s="1"/>
  <c r="A97" i="51" s="1"/>
  <c r="A98" i="51" s="1"/>
  <c r="A99" i="51" s="1"/>
  <c r="A100" i="51" s="1"/>
  <c r="A101" i="51" s="1"/>
  <c r="A102" i="51" s="1"/>
  <c r="A103" i="51" s="1"/>
  <c r="A104" i="51" s="1"/>
  <c r="A84" i="51"/>
  <c r="A85" i="51" s="1"/>
  <c r="A86" i="51" s="1"/>
  <c r="A87" i="51" s="1"/>
  <c r="A88" i="51" s="1"/>
  <c r="A89" i="51" s="1"/>
  <c r="A90" i="51" s="1"/>
  <c r="A91" i="51" s="1"/>
  <c r="A92" i="51" s="1"/>
  <c r="A66" i="51"/>
  <c r="A67" i="51" s="1"/>
  <c r="A68" i="51" s="1"/>
  <c r="A69" i="51" s="1"/>
  <c r="A70" i="51" s="1"/>
  <c r="A71" i="51" s="1"/>
  <c r="A72" i="51" s="1"/>
  <c r="A73" i="51" s="1"/>
  <c r="A74" i="51" s="1"/>
  <c r="A75" i="51" s="1"/>
  <c r="A76" i="51" s="1"/>
  <c r="A77" i="51" s="1"/>
  <c r="A78" i="51" s="1"/>
  <c r="A79" i="51" s="1"/>
  <c r="A80" i="51" s="1"/>
  <c r="A81" i="51" s="1"/>
  <c r="A82" i="51" s="1"/>
  <c r="A83" i="51" s="1"/>
  <c r="A40" i="51"/>
  <c r="A41" i="51" s="1"/>
  <c r="A42" i="51" s="1"/>
  <c r="A43" i="51" s="1"/>
  <c r="A44" i="51" s="1"/>
  <c r="A45" i="51" s="1"/>
  <c r="A46" i="51" s="1"/>
  <c r="A47" i="51" s="1"/>
  <c r="A48" i="51" s="1"/>
  <c r="A49" i="51" s="1"/>
  <c r="A50" i="51" s="1"/>
  <c r="A51" i="51" s="1"/>
  <c r="A52" i="51" s="1"/>
  <c r="A53" i="51" s="1"/>
  <c r="A54" i="51" s="1"/>
  <c r="A55" i="51" s="1"/>
  <c r="A56" i="51" s="1"/>
  <c r="A57" i="51" s="1"/>
  <c r="A58" i="51" s="1"/>
  <c r="A59" i="51" s="1"/>
  <c r="A60" i="51" s="1"/>
  <c r="A61" i="51" s="1"/>
  <c r="A62" i="51" s="1"/>
  <c r="A63" i="51" s="1"/>
  <c r="A64" i="51" s="1"/>
  <c r="A3" i="51"/>
  <c r="A4" i="51" s="1"/>
  <c r="A5" i="51" s="1"/>
  <c r="A6" i="51" s="1"/>
  <c r="A7" i="51" s="1"/>
  <c r="A8" i="51" s="1"/>
  <c r="A9" i="51" l="1"/>
  <c r="A10" i="51"/>
  <c r="A11" i="51" s="1"/>
  <c r="A12" i="51" s="1"/>
  <c r="A13" i="51" s="1"/>
  <c r="A14" i="51" s="1"/>
  <c r="A15" i="51" s="1"/>
  <c r="A16" i="51" s="1"/>
  <c r="A17" i="51" s="1"/>
  <c r="A18" i="51" s="1"/>
  <c r="A19" i="51" s="1"/>
  <c r="A20" i="51" s="1"/>
  <c r="A21" i="51" s="1"/>
  <c r="A22" i="51" s="1"/>
  <c r="A23" i="51" s="1"/>
  <c r="A24" i="51" s="1"/>
  <c r="A25" i="51" s="1"/>
  <c r="A26" i="51" s="1"/>
  <c r="A27" i="51" s="1"/>
  <c r="A28" i="51" s="1"/>
  <c r="A29" i="51" s="1"/>
  <c r="A30" i="51" s="1"/>
  <c r="A31" i="51" s="1"/>
  <c r="A32" i="51" s="1"/>
  <c r="A33" i="51" s="1"/>
  <c r="A34" i="51" s="1"/>
  <c r="A35" i="51" s="1"/>
  <c r="A37" i="51" l="1"/>
  <c r="A38" i="51" s="1"/>
  <c r="A36" i="51"/>
</calcChain>
</file>

<file path=xl/sharedStrings.xml><?xml version="1.0" encoding="utf-8"?>
<sst xmlns="http://schemas.openxmlformats.org/spreadsheetml/2006/main" count="764" uniqueCount="209">
  <si>
    <t>Item</t>
  </si>
  <si>
    <t>MATERIAL</t>
  </si>
  <si>
    <t>Cantidad</t>
  </si>
  <si>
    <t>Unid.</t>
  </si>
  <si>
    <t>TIPO</t>
  </si>
  <si>
    <t>CARRERA</t>
  </si>
  <si>
    <t>LLEGADA DEL ITEM</t>
  </si>
  <si>
    <t>OBSERVACIONES</t>
  </si>
  <si>
    <t>SAL 0</t>
  </si>
  <si>
    <t>SAL 1</t>
  </si>
  <si>
    <t>SAL2</t>
  </si>
  <si>
    <t>SAL3</t>
  </si>
  <si>
    <t>SAL 4</t>
  </si>
  <si>
    <t>SAL 5</t>
  </si>
  <si>
    <t>SAL 6</t>
  </si>
  <si>
    <t>SAL 7</t>
  </si>
  <si>
    <t>SAL 8</t>
  </si>
  <si>
    <t>SAL 9</t>
  </si>
  <si>
    <t>SAL 10</t>
  </si>
  <si>
    <t>SAL 11</t>
  </si>
  <si>
    <t>SAL 12</t>
  </si>
  <si>
    <t>SAL 13</t>
  </si>
  <si>
    <t>SAL 14</t>
  </si>
  <si>
    <t>SAL 15</t>
  </si>
  <si>
    <t>SAL 16</t>
  </si>
  <si>
    <t>SAL 17</t>
  </si>
  <si>
    <t>SAL 18</t>
  </si>
  <si>
    <t>SAL 19</t>
  </si>
  <si>
    <t>SAL 20</t>
  </si>
  <si>
    <t>SAL 21</t>
  </si>
  <si>
    <t>SAL 22</t>
  </si>
  <si>
    <t>SAL 23</t>
  </si>
  <si>
    <t>SAL 24</t>
  </si>
  <si>
    <t>SALDO ECONOMATO</t>
  </si>
  <si>
    <t xml:space="preserve">ACETATO DE TAMAÑO DE CARTA </t>
  </si>
  <si>
    <t>MATERIAL MISCELANEOS LABORATORIOS</t>
  </si>
  <si>
    <t>LGS</t>
  </si>
  <si>
    <t>SI</t>
  </si>
  <si>
    <t>BOLSAS AL VACIO DE 90 MIC  COFRADAS DE 15 X20 CM PAQUETE DE 100 UNID</t>
  </si>
  <si>
    <t>Paq.</t>
  </si>
  <si>
    <t>BOMBILLAS BLANCAS
( POPOTE) (PAQUETE DE 100 UNIDAD)</t>
  </si>
  <si>
    <t>PZA</t>
  </si>
  <si>
    <t>BOMBILLAS DE COLORES
(POPOTE)  (PAQUETE DE 100 UNIDAD)</t>
  </si>
  <si>
    <t>BOMBILLAS TRANSPARENTES
(POPOTE) (PAQUETE DE 100 UNIDAD)</t>
  </si>
  <si>
    <t>CINTA MASKING 18MM</t>
  </si>
  <si>
    <t>CINTA MASKING 24MM</t>
  </si>
  <si>
    <t>ESPADA COCTELERA</t>
  </si>
  <si>
    <t>ESPETOS DE BAMBU MEDIANOS BOLSA DE 100 UNID)</t>
  </si>
  <si>
    <t>ESPETOS DE BAMBU PEQUEÑOS BOLSA DE 100 UNID)</t>
  </si>
  <si>
    <t>FOSFORO DE 5 CM CAJA DE 240 UNID (FLAT LUX)</t>
  </si>
  <si>
    <t>GAS BUTANO/PROPANO EN SPRAY PARA REPOSTERIA</t>
  </si>
  <si>
    <t>HILO DE BRIDAR</t>
  </si>
  <si>
    <t>rollos</t>
  </si>
  <si>
    <t>MANGAS DESECHABLES (grandes) BOLSA DE 100 UNID</t>
  </si>
  <si>
    <t>MANGAS DESECHABLES (medianas) BOLSA DE 100 UNID</t>
  </si>
  <si>
    <t>MEDIDOR DE PH EN TIRAS DE PAPEL (PAQ DE 100 TIRAS)</t>
  </si>
  <si>
    <t>MOLDE  DESECHABLE PARA PANETTONE DE PAPEL MADERA PEQUEÑO DE 8 CM</t>
  </si>
  <si>
    <t>MONDADIENTES PAQUETE DE 100 UNIDADES</t>
  </si>
  <si>
    <t>FALTAN 5 UNIDADES</t>
  </si>
  <si>
    <t>PAPEL TOALLA DE COCINA PERLA MULTIUSO 2 EN 1</t>
  </si>
  <si>
    <t>PAPEL ENCERADO ROLLO DE 10 METROS REYNOLDS</t>
  </si>
  <si>
    <t>PAPEL ESTAÑADO ROLLO GRANDE  HEAVY DUTY MARCA DIAMOND</t>
  </si>
  <si>
    <t>PAPEL MADERA PLIEGO 70 X 100 CM</t>
  </si>
  <si>
    <t>PILA AA PACK DE 8 PILAS DURACELL</t>
  </si>
  <si>
    <t>PILA AAA PACK DE 6 PILAS DURACELL</t>
  </si>
  <si>
    <t>PIROTINES GRANDES DE COLORES Paq. 100 unidades</t>
  </si>
  <si>
    <t>NO</t>
  </si>
  <si>
    <t xml:space="preserve">PLIEGO PAPEL ENCERADO PARA ALIMENTOS MADISON (70X100CM) 37G
</t>
  </si>
  <si>
    <t>PLIEGO</t>
  </si>
  <si>
    <t>ROLLO DE ACETATO PARA REPOSTERIA DE 14 CM</t>
  </si>
  <si>
    <t>ROLLOS DE PAPEL FILM DE 1400 METROS (DIAMOND)</t>
  </si>
  <si>
    <t>ROLLOS DE PAPEL TOALLA LAVABLE, ABSORBENTE SCOTT DE 116 PAÑOS</t>
  </si>
  <si>
    <t>SERVILLETA X 500 UNID</t>
  </si>
  <si>
    <t>VASOS DE 30 ML BOLSA DE 100 UNID</t>
  </si>
  <si>
    <t>VASOS DESECHABLES DE 150 ML BOLSA DE 100 UNID</t>
  </si>
  <si>
    <t>VASOS DE 30 ML DE PVC</t>
  </si>
  <si>
    <t>BOLSAS ZIPLOC O BOLSA HERMETICA CON CIERRE ZIPPER MEDIDA 7X8 cm</t>
  </si>
  <si>
    <t>BOLSAS ZIPLOC O BOLSA HERMETICA CON CIERRE ZIPPER MEDIDA 8X12 cm</t>
  </si>
  <si>
    <t>BOLSAS ZIPLOC O BOLSA HERMETICA CON CIERRE ZIPPER MEDIDA 15X20 cm</t>
  </si>
  <si>
    <t>OBLEAS DE PLASTOFORMO DE 18 CM</t>
  </si>
  <si>
    <t>4 DERM 10 GR CREMA</t>
  </si>
  <si>
    <t>MATERIAL BOTIQUIN LABORATORIOS</t>
  </si>
  <si>
    <t>Alcohol caiman al 96% ( cada lata de 16L)</t>
  </si>
  <si>
    <t>LATA</t>
  </si>
  <si>
    <t>ALERGIN CLORFERAMINA 4MG MELEATO X TABLETA</t>
  </si>
  <si>
    <t>BACTEROL FORTE SULFAMETOXAZOL 800 MG TABLETA</t>
  </si>
  <si>
    <t>COMPRESA GASA 5CM X 5CM SOBRE</t>
  </si>
  <si>
    <t>COTRIMOXAZOL 400MG/80MG</t>
  </si>
  <si>
    <t>COLOR BLANCO TELA ADHESIVA ESPARADRAPO 2,5 CM *  4,5M</t>
  </si>
  <si>
    <t>DICLOFENACO GENERICO 75 MG TABLETA</t>
  </si>
  <si>
    <t>DOMPERIDONA 10 MG GENERICO</t>
  </si>
  <si>
    <t>FLAMADOL GEL DICLOFENACO SODICO 0,01X20GR</t>
  </si>
  <si>
    <t xml:space="preserve">FLORIL  NAFAZOLINA 0,03 COLIRIO X 15ML </t>
  </si>
  <si>
    <t>GUANTEX LATEX TALLA M CAJA DE 100 UNID</t>
  </si>
  <si>
    <t>CAJA</t>
  </si>
  <si>
    <t>IBOPRUFENO 800 MG GENERICO</t>
  </si>
  <si>
    <t>JERINGA DESCARTABLE 20 ML CON AGUJA 21  X 1,5</t>
  </si>
  <si>
    <t>MANGUERA DE SUERO SIN AGUJA</t>
  </si>
  <si>
    <t>MICROPORE PIEL 3M 1,25CM X 9M</t>
  </si>
  <si>
    <t>MICROPORE PIEL 3M 2,5CM X 9M</t>
  </si>
  <si>
    <t>PARACETAMOL 500 MG GENERICO TABLETA</t>
  </si>
  <si>
    <t>POVIDINE TOPICO 125 ML</t>
  </si>
  <si>
    <t>SUERO FISIOLOGICO 0,9% ENVASE X1000 ML</t>
  </si>
  <si>
    <t>QUEMACURAN L POMADA SULFADIAZINA ARGENTICA 0,02 Y LIDOCAINA 0,005 X 60 GR</t>
  </si>
  <si>
    <t>VENDA ELASTICA 10 CM X 4,5 MTS</t>
  </si>
  <si>
    <t>VENDA ELASTICA 7,5 CM X 4,5 MTS</t>
  </si>
  <si>
    <t>VENDITAS CURITAS X100 UNID</t>
  </si>
  <si>
    <t>COFIAS X 100 UNID</t>
  </si>
  <si>
    <t>BARBIJOS DESECHABLES X 50 UNIDADES</t>
  </si>
  <si>
    <t>ANTIGRASA MAXIMUS OLA DE 5 LT</t>
  </si>
  <si>
    <t>MATERIAL LIMPIEZA LABORATORIOS</t>
  </si>
  <si>
    <t>ANTISARRO DE 5 LITROS ARCHER</t>
  </si>
  <si>
    <t>BOLSA CUARTILLERA EN ROLLO DE 30X40 CM</t>
  </si>
  <si>
    <t>ROL</t>
  </si>
  <si>
    <t>BOLSAS GRANDES PLOMAS DE BASURA 90X100 CM PAQUETE DE 10 UNID (MARCA TACHITOS)140LTS</t>
  </si>
  <si>
    <t>PAQ</t>
  </si>
  <si>
    <t>BOLSAS NEGRAS CON AGARRADOR PAQUETE GRANDES DE 100 UNIDADES (ARROBERAS CON AGARRADORES)</t>
  </si>
  <si>
    <t xml:space="preserve">BOLSAS ROJAS , PAQUETE DE 50 UNIDADES 35x65 </t>
  </si>
  <si>
    <t>BOMBRIL ( LANA DE ACERO DE GRADO FINO)</t>
  </si>
  <si>
    <t>DETERGENTE EN POLVO OMO 5KG</t>
  </si>
  <si>
    <t>DETERGENTE LAVAJILLA BIDON DE 5 LITROS MARCA OLA COLOR VERDE</t>
  </si>
  <si>
    <t>ESPONJA METALIZADA</t>
  </si>
  <si>
    <t>ESPONJA PARA LAVAR PLATOS DE COLOR AMARILLO MARCA ESFREBOM ( PAQUETE DE 4 UNIDADES)</t>
  </si>
  <si>
    <t>LAVANDINA BOTELLA DE 1000 ML ARCHER</t>
  </si>
  <si>
    <t>LYSOFORM AEROSOL- OLOR NEUTRO</t>
  </si>
  <si>
    <t>PAR DE GUANTES DE COLOR NARANJA TALLA M</t>
  </si>
  <si>
    <t>SAPOLIO PULIDOR PARA COCINA EN POLVO 450 GR</t>
  </si>
  <si>
    <t>VIRUTA DE ACERO</t>
  </si>
  <si>
    <t>CAUSTIC CLEANER (BIDON DE 5 LITROS) MARCA SPARTAN</t>
  </si>
  <si>
    <t>SPARFRESH ECO (BIDON DE 5 LITROS ) MARCA SPARTAN</t>
  </si>
  <si>
    <t>YELLOW PINE ( DETERGENTE SUPER CONCENTRADO PARA LIMPIEZA PROFUNDA) (BIDON 5 KG) MARCA SPARTAN</t>
  </si>
  <si>
    <t>MOLDE PARA QUESO DE ACERO INOXIDABLE DE MEDIO KG</t>
  </si>
  <si>
    <t>MATERIAL  LABORATORIOS</t>
  </si>
  <si>
    <t>LND</t>
  </si>
  <si>
    <t>TECNICA DIETETICA
TECNICA DIETOTERAPICA</t>
  </si>
  <si>
    <t>TELA GASA PARA QUESO</t>
  </si>
  <si>
    <t>ROLLO</t>
  </si>
  <si>
    <t>TERMOMETRO DE PUNZAR</t>
  </si>
  <si>
    <t>TODAS LAS MATERIAS</t>
  </si>
  <si>
    <t>PRENSA PARA TORTILLAS MANUAL 20 CM TRABAJO PESADO</t>
  </si>
  <si>
    <t xml:space="preserve">TECNICA DIETETICA
</t>
  </si>
  <si>
    <t>BIBERON DE PLASTICO 125 ML</t>
  </si>
  <si>
    <t>TECNICA DIETOTERAPICA
PRACTICA 13</t>
  </si>
  <si>
    <t>BIBERON DE CRISTAL 125 ML</t>
  </si>
  <si>
    <t>CHUPON</t>
  </si>
  <si>
    <t>PLATO PARA NIÑO ACERO INOXIDABLE TRAMONTINA</t>
  </si>
  <si>
    <t>CUBIERTOS PARA NIÑO TRAMONTINA (CUCHARA, TENEDOR , CUCHILLO  Y CUCHARILLA)</t>
  </si>
  <si>
    <t>PAPEL CELOFAN PLIEGO DE 70 X 110CM COLOR ROJO</t>
  </si>
  <si>
    <t>CAJA DE ENVASADO DE GALLETA</t>
  </si>
  <si>
    <t>LTH</t>
  </si>
  <si>
    <t>CANTIDAD DE ITEMS QUE LLEGARON</t>
  </si>
  <si>
    <t xml:space="preserve">TOTAL ITEMS </t>
  </si>
  <si>
    <t>PORCENTAJE</t>
  </si>
  <si>
    <t>UNIVERSIDAD DEL VALLE</t>
  </si>
  <si>
    <t>SOLICITUD DE INSUMOS Y UTENSILIOS GASTRONÓMICOS</t>
  </si>
  <si>
    <t xml:space="preserve">LABORATORIO DE: </t>
  </si>
  <si>
    <t>FORMULARIO L-3.1</t>
  </si>
  <si>
    <t>Código de registro: RE-10-LAB-264</t>
  </si>
  <si>
    <t>Versión 2.0</t>
  </si>
  <si>
    <t>Página 1 de 1</t>
  </si>
  <si>
    <t>SEDE/ SUB SEDE: Cochabamba</t>
  </si>
  <si>
    <t>FACULTAD:  Arq. Y Turismo</t>
  </si>
  <si>
    <t>DEPARTAMENTO:  Gastronomìa</t>
  </si>
  <si>
    <t>SOLO PERSONAL DE LABORATORIO</t>
  </si>
  <si>
    <t>CARRERA: Gastronomia</t>
  </si>
  <si>
    <t>ENTREGADO POR: Ing. Vania Antezana</t>
  </si>
  <si>
    <t>ASIGNATURA: 
LIMPIEZA-MISC</t>
  </si>
  <si>
    <t>RECIBIDO POR: Ing. Perez</t>
  </si>
  <si>
    <t xml:space="preserve">HORA: </t>
  </si>
  <si>
    <t xml:space="preserve">HORARIO: </t>
  </si>
  <si>
    <t xml:space="preserve">LABORATORIO: </t>
  </si>
  <si>
    <t>GESTIÓN: 1/2026</t>
  </si>
  <si>
    <t>TODOS LOS LABORATORIOS</t>
  </si>
  <si>
    <t>Nro. DE SOLICITUD: 1</t>
  </si>
  <si>
    <t xml:space="preserve">ESTUDIANTE: </t>
  </si>
  <si>
    <t>DOCENTE: Ing. Sara Perez</t>
  </si>
  <si>
    <t>DETALLE DE LOS INSUMOS</t>
  </si>
  <si>
    <t>CANTIDAD</t>
  </si>
  <si>
    <t>UNIDAD</t>
  </si>
  <si>
    <t>DEVOLUCIÓN</t>
  </si>
  <si>
    <t>SALDO</t>
  </si>
  <si>
    <t>ANTIGRASA  DE 5 LT</t>
  </si>
  <si>
    <t>LITROS</t>
  </si>
  <si>
    <t>………………………………………………………</t>
  </si>
  <si>
    <t>FIRMA DEL DOCENTE</t>
  </si>
  <si>
    <t>Las solicitudes deben realizarse con 24 horas de anticipación a la práctica. El material debe ser revisado antes de retirar de ventanilla, no se aceptan reclamos posteriores.</t>
  </si>
  <si>
    <t>El formulario deberá ser llenado por el Docente</t>
  </si>
  <si>
    <t>ASIGNATURA: 
LIMPIEZA LGS</t>
  </si>
  <si>
    <t>FECHA 02/02/2026</t>
  </si>
  <si>
    <t>Nro. DE SOLICITUD: 2</t>
  </si>
  <si>
    <t>CAUSTIC CLEANER (BIDON DE 20 LITROS) MARCA SPARTAN</t>
  </si>
  <si>
    <t>SANI-T-10-PLUS Frasco de 1 litro MARCA SPARTAN(GALON DE 5 LITROS)</t>
  </si>
  <si>
    <t>X EFFECT DESINFECTANTE PARA PISOS(BIDON 5 KG) MARCA SPARTAN</t>
  </si>
  <si>
    <t>OVEN&amp;GRILL CLEANER (BIDON 5 KG) MARCA SPARTAN</t>
  </si>
  <si>
    <t>VIRUTIN GIRASOL PARA LIMPIEZA ACERADA(METAL ESPIRAL)</t>
  </si>
  <si>
    <t>ESPONJA METALIZADA FIBREX PARA HORNOS/OLLAS</t>
  </si>
  <si>
    <t>BOLSAS NEGRAS CON AGARRADOR 35X65 PAQUETE GRANDES DE 100 UNIDADES (ARROBERAS CON AGARRADORES)</t>
  </si>
  <si>
    <t>BOLSA EN ROLLO DE 30X40 CM (CUARTILLERA)</t>
  </si>
  <si>
    <t>PAPEL ALUMINIO DIAMONT 24X22,8M ESTUCHE CON SIERRA</t>
  </si>
  <si>
    <t>ROLLOS DE PAPEL FILM DE 1400 METROS PARA ALIMENTOS  CF-45M PESO DE 6,67KG( FIVE STICK)</t>
  </si>
  <si>
    <t>VASOS DESECHABLES DE 250 ML BOLSA DE 100 UNID</t>
  </si>
  <si>
    <t>CINTA DOBLE CONTACTO CON SOPORTE DE POLIETILENO O GOMA EVA 12MM DE ANCHO</t>
  </si>
  <si>
    <t>ASIGNATURA: 
MISCELANEOS LGS</t>
  </si>
  <si>
    <t>FECHA 19/11/2025</t>
  </si>
  <si>
    <t>GESTIÓN: 2/2025</t>
  </si>
  <si>
    <t>Nro. DE SOLICITUD: 11</t>
  </si>
  <si>
    <t>PAPEL DE TOALLA DE COCINA PERLA MULTIUSO 2 EN 1</t>
  </si>
  <si>
    <t>BOLSA NEGRA CON AGARRADOR</t>
  </si>
  <si>
    <t>BOMBILLAS BLANCAS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</si>
</sst>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409]#,##0.00;\(#,##0.00\)"/>
  </numFmts>
  <fonts count="26">
    <font>
      <sz val="11"/>
      <color theme="1"/>
      <name val="Calibri"/>
      <family val="2"/>
      <scheme val="minor"/>
    </font>
    <font>
      <sz val="12"/>
      <name val="Times New Roman"/>
      <family val="1"/>
    </font>
    <font>
      <b/>
      <sz val="10"/>
      <name val="Times New Roman"/>
      <family val="1"/>
    </font>
    <font>
      <sz val="8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sz val="9"/>
      <color theme="1"/>
      <name val="Times New Roman"/>
      <family val="1"/>
    </font>
    <font>
      <b/>
      <sz val="9"/>
      <name val="Times New Roman"/>
      <family val="1"/>
    </font>
    <font>
      <b/>
      <i/>
      <sz val="11"/>
      <name val="Times New Roman"/>
      <family val="1"/>
    </font>
    <font>
      <sz val="10"/>
      <name val="Arial"/>
      <family val="2"/>
    </font>
    <font>
      <sz val="11"/>
      <name val="Times New Roman"/>
      <family val="1"/>
    </font>
    <font>
      <sz val="11"/>
      <name val="Calibri"/>
      <family val="2"/>
      <scheme val="minor"/>
    </font>
    <font>
      <sz val="7"/>
      <name val="Times New Roman"/>
      <family val="1"/>
    </font>
    <font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0"/>
      <name val="Arial"/>
      <family val="2"/>
    </font>
    <font>
      <sz val="8"/>
      <color indexed="8"/>
      <name val="Calibri"/>
      <family val="2"/>
    </font>
    <font>
      <sz val="8"/>
      <color indexed="8"/>
      <name val="Tahoma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indexed="8"/>
      <name val="Calibri"/>
      <family val="2"/>
    </font>
    <font>
      <sz val="8"/>
      <color theme="1"/>
      <name val="Calibri"/>
      <family val="2"/>
    </font>
    <font>
      <sz val="8"/>
      <color rgb="FF000000"/>
      <name val="Calibri"/>
      <family val="2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0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0" fontId="9" fillId="0" borderId="0"/>
    <xf numFmtId="0" fontId="15" fillId="0" borderId="0"/>
    <xf numFmtId="9" fontId="18" fillId="0" borderId="0" applyFont="0" applyFill="0" applyBorder="0" applyAlignment="0" applyProtection="0"/>
  </cellStyleXfs>
  <cellXfs count="210">
    <xf numFmtId="0" fontId="0" fillId="0" borderId="0" xfId="0"/>
    <xf numFmtId="0" fontId="0" fillId="0" borderId="8" xfId="0" applyBorder="1"/>
    <xf numFmtId="0" fontId="6" fillId="0" borderId="0" xfId="0" applyFont="1"/>
    <xf numFmtId="0" fontId="4" fillId="0" borderId="0" xfId="0" applyFont="1" applyAlignment="1">
      <alignment vertical="center" wrapText="1"/>
    </xf>
    <xf numFmtId="0" fontId="4" fillId="0" borderId="8" xfId="0" applyFont="1" applyBorder="1" applyAlignment="1">
      <alignment vertical="center" wrapText="1"/>
    </xf>
    <xf numFmtId="0" fontId="4" fillId="0" borderId="9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0" xfId="0" applyFont="1" applyAlignment="1">
      <alignment vertical="top" wrapText="1"/>
    </xf>
    <xf numFmtId="0" fontId="4" fillId="0" borderId="8" xfId="0" applyFont="1" applyBorder="1" applyAlignment="1">
      <alignment vertical="top" wrapText="1"/>
    </xf>
    <xf numFmtId="0" fontId="4" fillId="0" borderId="9" xfId="0" applyFont="1" applyBorder="1"/>
    <xf numFmtId="0" fontId="4" fillId="0" borderId="0" xfId="0" applyFont="1" applyAlignment="1">
      <alignment wrapText="1"/>
    </xf>
    <xf numFmtId="0" fontId="4" fillId="0" borderId="0" xfId="0" applyFont="1"/>
    <xf numFmtId="0" fontId="4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0" fontId="0" fillId="0" borderId="5" xfId="0" applyBorder="1"/>
    <xf numFmtId="0" fontId="0" fillId="0" borderId="6" xfId="0" applyBorder="1"/>
    <xf numFmtId="0" fontId="0" fillId="0" borderId="9" xfId="0" applyBorder="1"/>
    <xf numFmtId="0" fontId="0" fillId="0" borderId="11" xfId="0" applyBorder="1"/>
    <xf numFmtId="0" fontId="7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4" fillId="0" borderId="0" xfId="0" applyFont="1" applyAlignment="1">
      <alignment horizontal="right" vertical="top" wrapText="1"/>
    </xf>
    <xf numFmtId="0" fontId="6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 wrapText="1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17" fillId="0" borderId="12" xfId="2" applyFont="1" applyBorder="1" applyAlignment="1" applyProtection="1">
      <alignment horizontal="center" vertical="top" wrapText="1" readingOrder="1"/>
      <protection locked="0"/>
    </xf>
    <xf numFmtId="0" fontId="0" fillId="0" borderId="9" xfId="0" applyBorder="1" applyAlignment="1">
      <alignment horizontal="center" vertical="center"/>
    </xf>
    <xf numFmtId="0" fontId="17" fillId="0" borderId="12" xfId="2" applyFont="1" applyBorder="1" applyAlignment="1" applyProtection="1">
      <alignment horizontal="center" vertical="center" wrapText="1" readingOrder="1"/>
      <protection locked="0"/>
    </xf>
    <xf numFmtId="0" fontId="0" fillId="0" borderId="8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/>
    </xf>
    <xf numFmtId="0" fontId="20" fillId="3" borderId="14" xfId="0" applyFont="1" applyFill="1" applyBorder="1" applyAlignment="1" applyProtection="1">
      <alignment vertical="top" wrapText="1" readingOrder="1"/>
      <protection locked="0"/>
    </xf>
    <xf numFmtId="0" fontId="0" fillId="0" borderId="0" xfId="0" applyAlignment="1">
      <alignment vertical="center"/>
    </xf>
    <xf numFmtId="0" fontId="16" fillId="0" borderId="1" xfId="0" applyFont="1" applyBorder="1" applyAlignment="1" applyProtection="1">
      <alignment vertical="center" wrapText="1" readingOrder="1"/>
      <protection locked="0"/>
    </xf>
    <xf numFmtId="164" fontId="16" fillId="0" borderId="1" xfId="0" applyNumberFormat="1" applyFont="1" applyBorder="1" applyAlignment="1" applyProtection="1">
      <alignment vertical="center" wrapText="1" readingOrder="1"/>
      <protection locked="0"/>
    </xf>
    <xf numFmtId="0" fontId="16" fillId="4" borderId="1" xfId="0" applyFont="1" applyFill="1" applyBorder="1" applyAlignment="1" applyProtection="1">
      <alignment vertical="center" wrapText="1" readingOrder="1"/>
      <protection locked="0"/>
    </xf>
    <xf numFmtId="164" fontId="16" fillId="4" borderId="1" xfId="0" applyNumberFormat="1" applyFont="1" applyFill="1" applyBorder="1" applyAlignment="1" applyProtection="1">
      <alignment vertical="center" wrapText="1" readingOrder="1"/>
      <protection locked="0"/>
    </xf>
    <xf numFmtId="0" fontId="22" fillId="5" borderId="1" xfId="0" applyFont="1" applyFill="1" applyBorder="1" applyAlignment="1">
      <alignment vertical="center" wrapText="1"/>
    </xf>
    <xf numFmtId="0" fontId="16" fillId="4" borderId="1" xfId="0" applyFont="1" applyFill="1" applyBorder="1" applyAlignment="1" applyProtection="1">
      <alignment horizontal="left" vertical="center" wrapText="1" readingOrder="1"/>
      <protection locked="0"/>
    </xf>
    <xf numFmtId="0" fontId="22" fillId="4" borderId="1" xfId="0" applyFont="1" applyFill="1" applyBorder="1" applyAlignment="1">
      <alignment vertical="center" wrapText="1"/>
    </xf>
    <xf numFmtId="0" fontId="0" fillId="0" borderId="13" xfId="0" applyBorder="1" applyAlignment="1">
      <alignment horizontal="center" wrapText="1"/>
    </xf>
    <xf numFmtId="0" fontId="19" fillId="0" borderId="1" xfId="0" applyFont="1" applyBorder="1" applyAlignment="1">
      <alignment horizontal="center" wrapText="1"/>
    </xf>
    <xf numFmtId="0" fontId="19" fillId="0" borderId="16" xfId="0" applyFont="1" applyBorder="1" applyAlignment="1">
      <alignment horizontal="center" wrapText="1"/>
    </xf>
    <xf numFmtId="0" fontId="0" fillId="0" borderId="0" xfId="0" applyAlignment="1">
      <alignment horizontal="center" wrapText="1"/>
    </xf>
    <xf numFmtId="0" fontId="19" fillId="0" borderId="13" xfId="0" applyFont="1" applyBorder="1"/>
    <xf numFmtId="0" fontId="0" fillId="0" borderId="1" xfId="0" applyBorder="1"/>
    <xf numFmtId="9" fontId="0" fillId="0" borderId="16" xfId="3" applyFont="1" applyBorder="1"/>
    <xf numFmtId="0" fontId="19" fillId="0" borderId="17" xfId="0" applyFont="1" applyBorder="1"/>
    <xf numFmtId="0" fontId="0" fillId="0" borderId="18" xfId="0" applyBorder="1" applyAlignment="1">
      <alignment horizontal="center"/>
    </xf>
    <xf numFmtId="0" fontId="0" fillId="0" borderId="18" xfId="0" applyBorder="1"/>
    <xf numFmtId="9" fontId="0" fillId="0" borderId="19" xfId="3" applyFont="1" applyBorder="1"/>
    <xf numFmtId="0" fontId="0" fillId="0" borderId="0" xfId="0" applyAlignment="1">
      <alignment wrapText="1"/>
    </xf>
    <xf numFmtId="0" fontId="20" fillId="3" borderId="8" xfId="0" applyFont="1" applyFill="1" applyBorder="1" applyAlignment="1" applyProtection="1">
      <alignment vertical="top" wrapText="1" readingOrder="1"/>
      <protection locked="0"/>
    </xf>
    <xf numFmtId="0" fontId="16" fillId="0" borderId="1" xfId="0" applyFont="1" applyBorder="1" applyAlignment="1" applyProtection="1">
      <alignment horizontal="center" vertical="center" wrapText="1" readingOrder="1"/>
      <protection locked="0"/>
    </xf>
    <xf numFmtId="0" fontId="21" fillId="0" borderId="1" xfId="0" applyFont="1" applyBorder="1" applyAlignment="1">
      <alignment horizontal="center" vertical="center"/>
    </xf>
    <xf numFmtId="0" fontId="16" fillId="4" borderId="1" xfId="0" applyFont="1" applyFill="1" applyBorder="1" applyAlignment="1" applyProtection="1">
      <alignment horizontal="center" vertical="center" wrapText="1" readingOrder="1"/>
      <protection locked="0"/>
    </xf>
    <xf numFmtId="0" fontId="20" fillId="3" borderId="20" xfId="0" applyFont="1" applyFill="1" applyBorder="1" applyAlignment="1" applyProtection="1">
      <alignment horizontal="center" vertical="top" wrapText="1" readingOrder="1"/>
      <protection locked="0"/>
    </xf>
    <xf numFmtId="0" fontId="20" fillId="3" borderId="15" xfId="0" applyFont="1" applyFill="1" applyBorder="1" applyAlignment="1" applyProtection="1">
      <alignment vertical="top" wrapText="1" readingOrder="1"/>
      <protection locked="0"/>
    </xf>
    <xf numFmtId="0" fontId="20" fillId="3" borderId="15" xfId="0" applyFont="1" applyFill="1" applyBorder="1" applyAlignment="1" applyProtection="1">
      <alignment horizontal="center" vertical="top" wrapText="1" readingOrder="1"/>
      <protection locked="0"/>
    </xf>
    <xf numFmtId="0" fontId="16" fillId="0" borderId="13" xfId="0" applyFont="1" applyBorder="1" applyAlignment="1" applyProtection="1">
      <alignment horizontal="center" vertical="center" wrapText="1" readingOrder="1"/>
      <protection locked="0"/>
    </xf>
    <xf numFmtId="0" fontId="16" fillId="4" borderId="13" xfId="0" applyFont="1" applyFill="1" applyBorder="1" applyAlignment="1" applyProtection="1">
      <alignment horizontal="center" vertical="center" wrapText="1" readingOrder="1"/>
      <protection locked="0"/>
    </xf>
    <xf numFmtId="0" fontId="16" fillId="4" borderId="17" xfId="0" applyFont="1" applyFill="1" applyBorder="1" applyAlignment="1" applyProtection="1">
      <alignment horizontal="center" vertical="center" wrapText="1" readingOrder="1"/>
      <protection locked="0"/>
    </xf>
    <xf numFmtId="0" fontId="16" fillId="0" borderId="18" xfId="0" applyFont="1" applyBorder="1" applyAlignment="1" applyProtection="1">
      <alignment vertical="center" wrapText="1" readingOrder="1"/>
      <protection locked="0"/>
    </xf>
    <xf numFmtId="164" fontId="16" fillId="0" borderId="18" xfId="0" applyNumberFormat="1" applyFont="1" applyBorder="1" applyAlignment="1" applyProtection="1">
      <alignment vertical="center" wrapText="1" readingOrder="1"/>
      <protection locked="0"/>
    </xf>
    <xf numFmtId="0" fontId="21" fillId="0" borderId="18" xfId="0" applyFont="1" applyBorder="1" applyAlignment="1">
      <alignment horizontal="center" vertical="center"/>
    </xf>
    <xf numFmtId="0" fontId="20" fillId="3" borderId="0" xfId="0" applyFont="1" applyFill="1" applyAlignment="1" applyProtection="1">
      <alignment vertical="top" wrapText="1" readingOrder="1"/>
      <protection locked="0"/>
    </xf>
    <xf numFmtId="3" fontId="0" fillId="0" borderId="1" xfId="0" applyNumberFormat="1" applyBorder="1" applyAlignment="1">
      <alignment horizontal="center" vertical="center"/>
    </xf>
    <xf numFmtId="0" fontId="0" fillId="0" borderId="9" xfId="0" applyBorder="1" applyAlignment="1">
      <alignment vertical="center"/>
    </xf>
    <xf numFmtId="0" fontId="0" fillId="0" borderId="8" xfId="0" applyBorder="1" applyAlignment="1">
      <alignment vertical="center"/>
    </xf>
    <xf numFmtId="0" fontId="20" fillId="3" borderId="26" xfId="0" applyFont="1" applyFill="1" applyBorder="1" applyAlignment="1" applyProtection="1">
      <alignment vertical="top" wrapText="1" readingOrder="1"/>
      <protection locked="0"/>
    </xf>
    <xf numFmtId="0" fontId="21" fillId="0" borderId="21" xfId="0" applyFont="1" applyBorder="1" applyAlignment="1">
      <alignment horizontal="center" vertical="center"/>
    </xf>
    <xf numFmtId="0" fontId="21" fillId="0" borderId="22" xfId="0" applyFont="1" applyBorder="1" applyAlignment="1">
      <alignment horizontal="center" vertical="center"/>
    </xf>
    <xf numFmtId="0" fontId="21" fillId="0" borderId="27" xfId="0" applyFont="1" applyBorder="1" applyAlignment="1">
      <alignment horizontal="center" vertical="center"/>
    </xf>
    <xf numFmtId="3" fontId="21" fillId="0" borderId="4" xfId="0" applyNumberFormat="1" applyFont="1" applyBorder="1" applyAlignment="1">
      <alignment horizontal="center" vertical="center"/>
    </xf>
    <xf numFmtId="3" fontId="16" fillId="0" borderId="4" xfId="0" applyNumberFormat="1" applyFont="1" applyBorder="1" applyAlignment="1" applyProtection="1">
      <alignment horizontal="center" vertical="center" wrapText="1" readingOrder="1"/>
      <protection locked="0"/>
    </xf>
    <xf numFmtId="0" fontId="20" fillId="3" borderId="28" xfId="0" applyFont="1" applyFill="1" applyBorder="1" applyAlignment="1" applyProtection="1">
      <alignment vertical="top" wrapText="1" readingOrder="1"/>
      <protection locked="0"/>
    </xf>
    <xf numFmtId="0" fontId="21" fillId="0" borderId="23" xfId="0" applyFont="1" applyBorder="1" applyAlignment="1">
      <alignment vertical="center"/>
    </xf>
    <xf numFmtId="0" fontId="21" fillId="0" borderId="24" xfId="0" applyFont="1" applyBorder="1" applyAlignment="1">
      <alignment vertical="center"/>
    </xf>
    <xf numFmtId="0" fontId="16" fillId="4" borderId="24" xfId="0" applyFont="1" applyFill="1" applyBorder="1" applyAlignment="1" applyProtection="1">
      <alignment vertical="center" wrapText="1" readingOrder="1"/>
      <protection locked="0"/>
    </xf>
    <xf numFmtId="0" fontId="21" fillId="0" borderId="25" xfId="0" applyFont="1" applyBorder="1" applyAlignment="1">
      <alignment vertical="center"/>
    </xf>
    <xf numFmtId="0" fontId="15" fillId="0" borderId="2" xfId="2" applyBorder="1" applyAlignment="1">
      <alignment horizontal="center" wrapText="1"/>
    </xf>
    <xf numFmtId="0" fontId="15" fillId="0" borderId="3" xfId="2" applyBorder="1" applyAlignment="1">
      <alignment horizontal="center" wrapText="1"/>
    </xf>
    <xf numFmtId="0" fontId="15" fillId="0" borderId="4" xfId="2" applyBorder="1" applyAlignment="1">
      <alignment horizontal="center" wrapText="1"/>
    </xf>
    <xf numFmtId="0" fontId="7" fillId="0" borderId="29" xfId="0" applyFont="1" applyBorder="1" applyAlignment="1">
      <alignment horizontal="center"/>
    </xf>
    <xf numFmtId="0" fontId="25" fillId="0" borderId="15" xfId="2" applyFont="1" applyBorder="1" applyAlignment="1" applyProtection="1">
      <alignment horizontal="center" vertical="center" readingOrder="1"/>
      <protection locked="0"/>
    </xf>
    <xf numFmtId="0" fontId="25" fillId="0" borderId="1" xfId="2" applyFont="1" applyBorder="1" applyAlignment="1" applyProtection="1">
      <alignment horizontal="center" vertical="center" readingOrder="1"/>
      <protection locked="0"/>
    </xf>
    <xf numFmtId="0" fontId="25" fillId="0" borderId="1" xfId="2" applyFont="1" applyBorder="1" applyAlignment="1" applyProtection="1">
      <alignment horizontal="center" vertical="top" readingOrder="1"/>
      <protection locked="0"/>
    </xf>
    <xf numFmtId="0" fontId="25" fillId="0" borderId="18" xfId="2" applyFont="1" applyBorder="1" applyAlignment="1" applyProtection="1">
      <alignment horizontal="center" vertical="top" readingOrder="1"/>
      <protection locked="0"/>
    </xf>
    <xf numFmtId="0" fontId="0" fillId="0" borderId="6" xfId="0" applyBorder="1" applyAlignment="1">
      <alignment wrapText="1"/>
    </xf>
    <xf numFmtId="0" fontId="16" fillId="0" borderId="1" xfId="2" applyFont="1" applyBorder="1" applyAlignment="1" applyProtection="1">
      <alignment horizontal="left" vertical="top" wrapText="1" readingOrder="1"/>
      <protection locked="0"/>
    </xf>
    <xf numFmtId="0" fontId="15" fillId="0" borderId="2" xfId="2" applyBorder="1" applyAlignment="1">
      <alignment horizontal="center" wrapText="1"/>
    </xf>
    <xf numFmtId="0" fontId="15" fillId="0" borderId="3" xfId="2" applyBorder="1" applyAlignment="1">
      <alignment horizontal="center" wrapText="1"/>
    </xf>
    <xf numFmtId="0" fontId="15" fillId="0" borderId="4" xfId="2" applyBorder="1" applyAlignment="1">
      <alignment horizontal="center" wrapText="1"/>
    </xf>
    <xf numFmtId="0" fontId="7" fillId="0" borderId="1" xfId="0" applyFont="1" applyBorder="1" applyAlignment="1">
      <alignment horizontal="center"/>
    </xf>
    <xf numFmtId="0" fontId="8" fillId="0" borderId="0" xfId="0" applyFont="1" applyAlignment="1">
      <alignment horizontal="center" wrapText="1"/>
    </xf>
    <xf numFmtId="0" fontId="8" fillId="0" borderId="8" xfId="0" applyFont="1" applyBorder="1" applyAlignment="1">
      <alignment horizontal="center" wrapText="1"/>
    </xf>
    <xf numFmtId="0" fontId="8" fillId="0" borderId="11" xfId="0" applyFont="1" applyBorder="1" applyAlignment="1">
      <alignment horizontal="center" wrapText="1"/>
    </xf>
    <xf numFmtId="0" fontId="8" fillId="0" borderId="10" xfId="0" applyFont="1" applyBorder="1" applyAlignment="1">
      <alignment horizont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0" fillId="0" borderId="13" xfId="0" applyBorder="1" applyAlignment="1">
      <alignment horizontal="left"/>
    </xf>
    <xf numFmtId="0" fontId="0" fillId="0" borderId="1" xfId="0" applyBorder="1" applyAlignment="1">
      <alignment horizontal="left"/>
    </xf>
    <xf numFmtId="0" fontId="1" fillId="2" borderId="2" xfId="0" applyFont="1" applyFill="1" applyBorder="1" applyAlignment="1">
      <alignment horizontal="left" vertical="top" wrapText="1"/>
    </xf>
    <xf numFmtId="0" fontId="1" fillId="2" borderId="3" xfId="0" applyFont="1" applyFill="1" applyBorder="1" applyAlignment="1">
      <alignment horizontal="left" vertical="top" wrapText="1"/>
    </xf>
    <xf numFmtId="0" fontId="1" fillId="2" borderId="4" xfId="0" applyFont="1" applyFill="1" applyBorder="1" applyAlignment="1">
      <alignment horizontal="left" vertical="top" wrapText="1"/>
    </xf>
    <xf numFmtId="0" fontId="4" fillId="0" borderId="2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2" xfId="0" applyFont="1" applyBorder="1" applyAlignment="1">
      <alignment vertical="center" wrapText="1"/>
    </xf>
    <xf numFmtId="0" fontId="4" fillId="0" borderId="3" xfId="0" applyFont="1" applyBorder="1" applyAlignment="1">
      <alignment vertical="center" wrapText="1"/>
    </xf>
    <xf numFmtId="0" fontId="4" fillId="0" borderId="4" xfId="0" applyFont="1" applyBorder="1" applyAlignment="1">
      <alignment vertical="center" wrapText="1"/>
    </xf>
    <xf numFmtId="0" fontId="10" fillId="0" borderId="2" xfId="0" applyFont="1" applyBorder="1" applyAlignment="1">
      <alignment vertical="center"/>
    </xf>
    <xf numFmtId="0" fontId="10" fillId="0" borderId="3" xfId="0" applyFont="1" applyBorder="1" applyAlignment="1">
      <alignment vertical="center"/>
    </xf>
    <xf numFmtId="0" fontId="10" fillId="0" borderId="4" xfId="0" applyFont="1" applyBorder="1" applyAlignment="1">
      <alignment vertical="center"/>
    </xf>
    <xf numFmtId="0" fontId="7" fillId="0" borderId="1" xfId="0" applyFont="1" applyBorder="1" applyAlignment="1">
      <alignment horizontal="right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14" fillId="0" borderId="2" xfId="0" applyFont="1" applyBorder="1" applyAlignment="1">
      <alignment vertical="center"/>
    </xf>
    <xf numFmtId="0" fontId="14" fillId="0" borderId="3" xfId="0" applyFont="1" applyBorder="1" applyAlignment="1">
      <alignment vertical="center"/>
    </xf>
    <xf numFmtId="0" fontId="14" fillId="0" borderId="4" xfId="0" applyFont="1" applyBorder="1" applyAlignment="1">
      <alignment vertical="center"/>
    </xf>
    <xf numFmtId="0" fontId="7" fillId="0" borderId="11" xfId="0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0" fontId="3" fillId="2" borderId="2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/>
    </xf>
    <xf numFmtId="0" fontId="3" fillId="2" borderId="4" xfId="0" applyFont="1" applyFill="1" applyBorder="1" applyAlignment="1">
      <alignment vertical="center"/>
    </xf>
    <xf numFmtId="14" fontId="5" fillId="0" borderId="2" xfId="0" applyNumberFormat="1" applyFont="1" applyBorder="1" applyAlignment="1">
      <alignment vertical="center" wrapText="1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5" fillId="0" borderId="2" xfId="0" applyFont="1" applyBorder="1" applyAlignment="1">
      <alignment vertical="center" wrapText="1"/>
    </xf>
    <xf numFmtId="0" fontId="5" fillId="0" borderId="3" xfId="0" applyFont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4" fillId="0" borderId="2" xfId="0" applyFont="1" applyBorder="1" applyAlignment="1">
      <alignment vertical="top" wrapText="1"/>
    </xf>
    <xf numFmtId="0" fontId="4" fillId="0" borderId="3" xfId="0" applyFont="1" applyBorder="1" applyAlignment="1">
      <alignment vertical="top" wrapText="1"/>
    </xf>
    <xf numFmtId="0" fontId="4" fillId="0" borderId="4" xfId="0" applyFont="1" applyBorder="1" applyAlignment="1">
      <alignment vertical="top" wrapText="1"/>
    </xf>
    <xf numFmtId="0" fontId="11" fillId="0" borderId="2" xfId="0" applyFont="1" applyBorder="1" applyAlignment="1">
      <alignment horizontal="left" vertical="center" wrapText="1"/>
    </xf>
    <xf numFmtId="0" fontId="11" fillId="0" borderId="3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vertical="center" wrapText="1"/>
    </xf>
    <xf numFmtId="0" fontId="16" fillId="0" borderId="2" xfId="2" applyFont="1" applyBorder="1" applyAlignment="1" applyProtection="1">
      <alignment horizontal="left" vertical="center" wrapText="1" readingOrder="1"/>
      <protection locked="0"/>
    </xf>
    <xf numFmtId="0" fontId="16" fillId="0" borderId="3" xfId="2" applyFont="1" applyBorder="1" applyAlignment="1" applyProtection="1">
      <alignment horizontal="left" vertical="center" wrapText="1" readingOrder="1"/>
      <protection locked="0"/>
    </xf>
    <xf numFmtId="0" fontId="16" fillId="0" borderId="4" xfId="2" applyFont="1" applyBorder="1" applyAlignment="1" applyProtection="1">
      <alignment horizontal="left" vertical="center" wrapText="1" readingOrder="1"/>
      <protection locked="0"/>
    </xf>
    <xf numFmtId="0" fontId="9" fillId="0" borderId="2" xfId="2" applyFont="1" applyBorder="1" applyAlignment="1">
      <alignment horizontal="center" vertical="center" wrapText="1"/>
    </xf>
    <xf numFmtId="0" fontId="15" fillId="0" borderId="3" xfId="2" applyBorder="1" applyAlignment="1">
      <alignment horizontal="center" vertical="center" wrapText="1"/>
    </xf>
    <xf numFmtId="0" fontId="15" fillId="0" borderId="4" xfId="2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6" fillId="0" borderId="1" xfId="2" applyFont="1" applyBorder="1" applyAlignment="1" applyProtection="1">
      <alignment horizontal="left" vertical="center" wrapText="1" readingOrder="1"/>
      <protection locked="0"/>
    </xf>
    <xf numFmtId="0" fontId="15" fillId="0" borderId="2" xfId="2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15" fillId="0" borderId="1" xfId="2" applyBorder="1" applyAlignment="1">
      <alignment horizontal="center" wrapText="1"/>
    </xf>
    <xf numFmtId="0" fontId="0" fillId="0" borderId="30" xfId="0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0" borderId="31" xfId="0" applyBorder="1" applyAlignment="1">
      <alignment horizontal="center"/>
    </xf>
    <xf numFmtId="0" fontId="7" fillId="0" borderId="30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13" xfId="0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11" fillId="0" borderId="1" xfId="2" applyFont="1" applyBorder="1" applyAlignment="1">
      <alignment horizontal="center"/>
    </xf>
    <xf numFmtId="0" fontId="24" fillId="0" borderId="1" xfId="0" applyFont="1" applyBorder="1" applyAlignment="1">
      <alignment horizontal="center"/>
    </xf>
    <xf numFmtId="0" fontId="24" fillId="0" borderId="16" xfId="0" applyFont="1" applyBorder="1" applyAlignment="1">
      <alignment horizontal="center"/>
    </xf>
    <xf numFmtId="0" fontId="25" fillId="0" borderId="17" xfId="2" applyFont="1" applyBorder="1" applyAlignment="1" applyProtection="1">
      <alignment horizontal="left" vertical="top" wrapText="1" readingOrder="1"/>
      <protection locked="0"/>
    </xf>
    <xf numFmtId="0" fontId="25" fillId="0" borderId="18" xfId="2" applyFont="1" applyBorder="1" applyAlignment="1" applyProtection="1">
      <alignment horizontal="left" vertical="top" wrapText="1" readingOrder="1"/>
      <protection locked="0"/>
    </xf>
    <xf numFmtId="0" fontId="11" fillId="0" borderId="18" xfId="2" applyFont="1" applyBorder="1" applyAlignment="1">
      <alignment horizontal="center"/>
    </xf>
    <xf numFmtId="0" fontId="24" fillId="0" borderId="18" xfId="0" applyFont="1" applyBorder="1" applyAlignment="1">
      <alignment horizontal="center"/>
    </xf>
    <xf numFmtId="0" fontId="24" fillId="0" borderId="19" xfId="0" applyFont="1" applyBorder="1" applyAlignment="1">
      <alignment horizontal="center"/>
    </xf>
    <xf numFmtId="0" fontId="25" fillId="0" borderId="13" xfId="2" applyFont="1" applyBorder="1" applyAlignment="1" applyProtection="1">
      <alignment horizontal="left" vertical="top" wrapText="1" readingOrder="1"/>
      <protection locked="0"/>
    </xf>
    <xf numFmtId="0" fontId="25" fillId="0" borderId="1" xfId="2" applyFont="1" applyBorder="1" applyAlignment="1" applyProtection="1">
      <alignment horizontal="left" vertical="top" wrapText="1" readingOrder="1"/>
      <protection locked="0"/>
    </xf>
    <xf numFmtId="0" fontId="25" fillId="0" borderId="13" xfId="2" applyFont="1" applyBorder="1" applyAlignment="1" applyProtection="1">
      <alignment horizontal="left" vertical="center" wrapText="1" readingOrder="1"/>
      <protection locked="0"/>
    </xf>
    <xf numFmtId="0" fontId="25" fillId="0" borderId="1" xfId="2" applyFont="1" applyBorder="1" applyAlignment="1" applyProtection="1">
      <alignment horizontal="left" vertical="center" wrapText="1" readingOrder="1"/>
      <protection locked="0"/>
    </xf>
    <xf numFmtId="0" fontId="11" fillId="0" borderId="1" xfId="2" applyFont="1" applyBorder="1" applyAlignment="1">
      <alignment horizontal="center" vertical="center"/>
    </xf>
    <xf numFmtId="0" fontId="25" fillId="0" borderId="13" xfId="1" applyFont="1" applyBorder="1" applyAlignment="1">
      <alignment vertical="top" wrapText="1" readingOrder="1"/>
    </xf>
    <xf numFmtId="0" fontId="25" fillId="0" borderId="1" xfId="1" applyFont="1" applyBorder="1" applyAlignment="1">
      <alignment vertical="top" wrapText="1" readingOrder="1"/>
    </xf>
    <xf numFmtId="0" fontId="24" fillId="0" borderId="1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/>
    </xf>
    <xf numFmtId="0" fontId="25" fillId="0" borderId="13" xfId="0" applyFont="1" applyBorder="1" applyAlignment="1">
      <alignment vertical="center" wrapText="1" readingOrder="1"/>
    </xf>
    <xf numFmtId="0" fontId="25" fillId="0" borderId="1" xfId="0" applyFont="1" applyBorder="1" applyAlignment="1">
      <alignment vertical="center" wrapText="1" readingOrder="1"/>
    </xf>
    <xf numFmtId="0" fontId="3" fillId="2" borderId="3" xfId="0" applyFont="1" applyFill="1" applyBorder="1" applyAlignment="1">
      <alignment vertical="center" wrapText="1"/>
    </xf>
    <xf numFmtId="0" fontId="3" fillId="2" borderId="4" xfId="0" applyFont="1" applyFill="1" applyBorder="1" applyAlignment="1">
      <alignment vertical="center" wrapText="1"/>
    </xf>
    <xf numFmtId="0" fontId="7" fillId="0" borderId="29" xfId="0" applyFont="1" applyBorder="1" applyAlignment="1">
      <alignment wrapText="1"/>
    </xf>
    <xf numFmtId="0" fontId="7" fillId="0" borderId="29" xfId="0" applyFont="1" applyBorder="1" applyAlignment="1">
      <alignment horizontal="right"/>
    </xf>
    <xf numFmtId="0" fontId="7" fillId="0" borderId="29" xfId="0" applyFont="1" applyBorder="1" applyAlignment="1">
      <alignment horizontal="center"/>
    </xf>
    <xf numFmtId="0" fontId="25" fillId="0" borderId="20" xfId="1" applyFont="1" applyBorder="1" applyAlignment="1">
      <alignment vertical="top" wrapText="1" readingOrder="1"/>
    </xf>
    <xf numFmtId="0" fontId="25" fillId="0" borderId="15" xfId="1" applyFont="1" applyBorder="1" applyAlignment="1">
      <alignment vertical="top" wrapText="1" readingOrder="1"/>
    </xf>
    <xf numFmtId="0" fontId="11" fillId="0" borderId="15" xfId="2" applyFont="1" applyBorder="1" applyAlignment="1">
      <alignment horizontal="center" vertical="center"/>
    </xf>
    <xf numFmtId="0" fontId="24" fillId="0" borderId="15" xfId="0" applyFont="1" applyBorder="1" applyAlignment="1">
      <alignment horizontal="center" vertical="center"/>
    </xf>
    <xf numFmtId="0" fontId="24" fillId="0" borderId="32" xfId="0" applyFont="1" applyBorder="1" applyAlignment="1">
      <alignment horizontal="center" vertical="center"/>
    </xf>
    <xf numFmtId="0" fontId="16" fillId="0" borderId="2" xfId="0" applyFont="1" applyBorder="1" applyAlignment="1">
      <alignment vertical="center" wrapText="1" readingOrder="1"/>
    </xf>
    <xf numFmtId="0" fontId="16" fillId="0" borderId="3" xfId="0" applyFont="1" applyBorder="1" applyAlignment="1">
      <alignment vertical="center" wrapText="1" readingOrder="1"/>
    </xf>
    <xf numFmtId="0" fontId="16" fillId="0" borderId="4" xfId="0" applyFont="1" applyBorder="1" applyAlignment="1">
      <alignment vertical="center" wrapText="1" readingOrder="1"/>
    </xf>
    <xf numFmtId="0" fontId="5" fillId="0" borderId="1" xfId="0" applyFont="1" applyBorder="1" applyAlignment="1"/>
    <xf numFmtId="0" fontId="7" fillId="0" borderId="1" xfId="0" applyFont="1" applyBorder="1" applyAlignment="1"/>
  </cellXfs>
  <cellStyles count="4">
    <cellStyle name="Normal" xfId="0" builtinId="0"/>
    <cellStyle name="Normal 2" xfId="1" xr:uid="{00000000-0005-0000-0000-000001000000}"/>
    <cellStyle name="Normal 3" xfId="2" xr:uid="{C2C7AC0E-F0E7-483C-97F5-ECB50299712B}"/>
    <cellStyle name="Percent" xfId="3" builtinId="5"/>
  </cellStyles>
  <dxfs count="38">
    <dxf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8"/>
        <name val="Calibri"/>
        <family val="2"/>
        <scheme val="none"/>
      </font>
      <alignment horizontal="general" vertical="center" textRotation="0" wrapText="1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8"/>
        <name val="Calibri"/>
        <family val="2"/>
        <scheme val="none"/>
      </font>
      <alignment horizontal="general" vertical="center" textRotation="0" wrapText="1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8"/>
        <name val="Calibri"/>
        <family val="2"/>
        <scheme val="none"/>
      </font>
      <numFmt numFmtId="164" formatCode="[$-10409]#,##0.00;\(#,##0.00\)"/>
      <alignment horizontal="general" vertical="center" textRotation="0" wrapText="1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8"/>
        <name val="Calibri"/>
        <family val="2"/>
        <scheme val="none"/>
      </font>
      <alignment horizontal="general" vertical="center" textRotation="0" wrapText="1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8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outline="0">
        <left style="thin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Calibri"/>
        <family val="2"/>
        <scheme val="none"/>
      </font>
      <fill>
        <patternFill patternType="solid">
          <fgColor indexed="0"/>
          <bgColor theme="4" tint="0.79998168889431442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00"/>
      <color rgb="FFFF3300"/>
      <color rgb="FFCC3300"/>
      <color rgb="FFFF3399"/>
      <color rgb="FF008080"/>
      <color rgb="FF00FF00"/>
      <color rgb="FF0000FF"/>
      <color rgb="FFFF0066"/>
      <color rgb="FFCC0066"/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285789</xdr:colOff>
      <xdr:row>0</xdr:row>
      <xdr:rowOff>67638</xdr:rowOff>
    </xdr:from>
    <xdr:to>
      <xdr:col>1</xdr:col>
      <xdr:colOff>504825</xdr:colOff>
      <xdr:row>2</xdr:row>
      <xdr:rowOff>1</xdr:rowOff>
    </xdr:to>
    <xdr:pic>
      <xdr:nvPicPr>
        <xdr:cNvPr id="2" name="Imagen 1" descr="UNIVALLE 1988">
          <a:extLst>
            <a:ext uri="{FF2B5EF4-FFF2-40B4-BE49-F238E27FC236}">
              <a16:creationId xmlns:a16="http://schemas.microsoft.com/office/drawing/2014/main" id="{4DF7BE6B-2A80-45B2-A024-6FEB3B442F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89" y="67638"/>
          <a:ext cx="419061" cy="313363"/>
        </a:xfrm>
        <a:prstGeom prst="rect">
          <a:avLst/>
        </a:prstGeom>
        <a:noFill/>
      </xdr:spPr>
    </xdr:pic>
    <xdr:clientData/>
  </xdr:twoCellAnchor>
  <xdr:twoCellAnchor>
    <xdr:from>
      <xdr:col>1</xdr:col>
      <xdr:colOff>867</xdr:colOff>
      <xdr:row>0</xdr:row>
      <xdr:rowOff>67638</xdr:rowOff>
    </xdr:from>
    <xdr:to>
      <xdr:col>2</xdr:col>
      <xdr:colOff>82826</xdr:colOff>
      <xdr:row>2</xdr:row>
      <xdr:rowOff>173935</xdr:rowOff>
    </xdr:to>
    <xdr:pic>
      <xdr:nvPicPr>
        <xdr:cNvPr id="3" name="Imagen 1" descr="UNIVALLE 1988">
          <a:extLst>
            <a:ext uri="{FF2B5EF4-FFF2-40B4-BE49-F238E27FC236}">
              <a16:creationId xmlns:a16="http://schemas.microsoft.com/office/drawing/2014/main" id="{A3FD6FED-893D-4877-9C1D-C2E9F5980E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4217" y="67638"/>
          <a:ext cx="501059" cy="487297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285789</xdr:colOff>
      <xdr:row>0</xdr:row>
      <xdr:rowOff>67638</xdr:rowOff>
    </xdr:from>
    <xdr:to>
      <xdr:col>1</xdr:col>
      <xdr:colOff>504825</xdr:colOff>
      <xdr:row>2</xdr:row>
      <xdr:rowOff>1</xdr:rowOff>
    </xdr:to>
    <xdr:pic>
      <xdr:nvPicPr>
        <xdr:cNvPr id="2" name="Imagen 1" descr="UNIVALLE 1988">
          <a:extLst>
            <a:ext uri="{FF2B5EF4-FFF2-40B4-BE49-F238E27FC236}">
              <a16:creationId xmlns:a16="http://schemas.microsoft.com/office/drawing/2014/main" id="{697FC398-C807-4E38-8FA1-1E712C3621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89" y="67638"/>
          <a:ext cx="419061" cy="313363"/>
        </a:xfrm>
        <a:prstGeom prst="rect">
          <a:avLst/>
        </a:prstGeom>
        <a:noFill/>
      </xdr:spPr>
    </xdr:pic>
    <xdr:clientData/>
  </xdr:twoCellAnchor>
  <xdr:twoCellAnchor>
    <xdr:from>
      <xdr:col>1</xdr:col>
      <xdr:colOff>867</xdr:colOff>
      <xdr:row>0</xdr:row>
      <xdr:rowOff>67638</xdr:rowOff>
    </xdr:from>
    <xdr:to>
      <xdr:col>2</xdr:col>
      <xdr:colOff>82826</xdr:colOff>
      <xdr:row>2</xdr:row>
      <xdr:rowOff>173935</xdr:rowOff>
    </xdr:to>
    <xdr:pic>
      <xdr:nvPicPr>
        <xdr:cNvPr id="3" name="Imagen 1" descr="UNIVALLE 1988">
          <a:extLst>
            <a:ext uri="{FF2B5EF4-FFF2-40B4-BE49-F238E27FC236}">
              <a16:creationId xmlns:a16="http://schemas.microsoft.com/office/drawing/2014/main" id="{3C1A3065-7BB2-4689-9884-7FBE717647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4217" y="67638"/>
          <a:ext cx="501059" cy="487297"/>
        </a:xfrm>
        <a:prstGeom prst="rect">
          <a:avLst/>
        </a:prstGeom>
        <a:noFill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285789</xdr:colOff>
      <xdr:row>0</xdr:row>
      <xdr:rowOff>67638</xdr:rowOff>
    </xdr:from>
    <xdr:to>
      <xdr:col>1</xdr:col>
      <xdr:colOff>504825</xdr:colOff>
      <xdr:row>2</xdr:row>
      <xdr:rowOff>1</xdr:rowOff>
    </xdr:to>
    <xdr:pic>
      <xdr:nvPicPr>
        <xdr:cNvPr id="2" name="Imagen 1" descr="UNIVALLE 1988">
          <a:extLst>
            <a:ext uri="{FF2B5EF4-FFF2-40B4-BE49-F238E27FC236}">
              <a16:creationId xmlns:a16="http://schemas.microsoft.com/office/drawing/2014/main" id="{10FB0491-3A99-42B2-9CA0-7118192848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89" y="67638"/>
          <a:ext cx="419061" cy="313363"/>
        </a:xfrm>
        <a:prstGeom prst="rect">
          <a:avLst/>
        </a:prstGeom>
        <a:noFill/>
      </xdr:spPr>
    </xdr:pic>
    <xdr:clientData/>
  </xdr:twoCellAnchor>
  <xdr:twoCellAnchor>
    <xdr:from>
      <xdr:col>1</xdr:col>
      <xdr:colOff>867</xdr:colOff>
      <xdr:row>0</xdr:row>
      <xdr:rowOff>67638</xdr:rowOff>
    </xdr:from>
    <xdr:to>
      <xdr:col>2</xdr:col>
      <xdr:colOff>82826</xdr:colOff>
      <xdr:row>2</xdr:row>
      <xdr:rowOff>173935</xdr:rowOff>
    </xdr:to>
    <xdr:pic>
      <xdr:nvPicPr>
        <xdr:cNvPr id="3" name="Imagen 1" descr="UNIVALLE 1988">
          <a:extLst>
            <a:ext uri="{FF2B5EF4-FFF2-40B4-BE49-F238E27FC236}">
              <a16:creationId xmlns:a16="http://schemas.microsoft.com/office/drawing/2014/main" id="{33514CA6-D73D-4C9F-A395-FF251A5933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4217" y="67638"/>
          <a:ext cx="501059" cy="487297"/>
        </a:xfrm>
        <a:prstGeom prst="rect">
          <a:avLst/>
        </a:prstGeom>
        <a:noFill/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D79DB5-4EB0-42A5-93D3-E274442C4283}" name="Tabla1" displayName="Tabla1" ref="A1:AH111" totalsRowShown="0" headerRowDxfId="35" tableBorderDxfId="34">
  <autoFilter ref="A1:AH111" xr:uid="{FCD9E4A5-7792-496E-8D67-281F6C5B7760}"/>
  <tableColumns count="34">
    <tableColumn id="1" xr3:uid="{FCF3EB98-BBBD-488C-B412-62041BDA7177}" name="Item" dataDxfId="33">
      <calculatedColumnFormula>A1+1</calculatedColumnFormula>
    </tableColumn>
    <tableColumn id="2" xr3:uid="{EE7EF5C1-CFCD-45A6-8AFC-FC42A34DE0F0}" name="MATERIAL" dataDxfId="32"/>
    <tableColumn id="3" xr3:uid="{A44307CD-9A24-4E6E-B78E-59206CF3EA07}" name="Cantidad" dataDxfId="31"/>
    <tableColumn id="4" xr3:uid="{0D72BA9F-B577-4DE6-BD02-25A84ED52426}" name="Unid." dataDxfId="30"/>
    <tableColumn id="7" xr3:uid="{0616B12F-A4C5-4971-9F59-89846C46F16F}" name="TIPO" dataDxfId="29"/>
    <tableColumn id="8" xr3:uid="{26A0DA5A-48B8-4499-9671-1D995CDFA9FA}" name="CARRERA" dataDxfId="28"/>
    <tableColumn id="9" xr3:uid="{53158BD5-7BC8-4CCA-8DA1-770A26985890}" name="LLEGADA DEL ITEM" dataDxfId="27"/>
    <tableColumn id="10" xr3:uid="{4DC9A3AC-6969-4C8E-9BB1-9E0731CB1D66}" name="OBSERVACIONES" dataDxfId="26"/>
    <tableColumn id="22" xr3:uid="{FDC95A8A-0B3D-4DC0-B628-BE7024060FA3}" name="SAL 0" dataDxfId="25"/>
    <tableColumn id="11" xr3:uid="{61C62373-C1DF-4277-B8A8-6E3F614CBB26}" name="SAL 1" dataDxfId="24"/>
    <tableColumn id="12" xr3:uid="{DDEA42BA-626E-404E-AE7A-0CDC2C177CBE}" name="SAL2" dataDxfId="23"/>
    <tableColumn id="13" xr3:uid="{658EBED9-16F9-49F9-8E12-E4932608453E}" name="SAL3" dataDxfId="22"/>
    <tableColumn id="14" xr3:uid="{5CAB63BB-49CD-4E4B-AB3E-FAB76A0B5984}" name="SAL 4" dataDxfId="21"/>
    <tableColumn id="15" xr3:uid="{711079E9-7A66-4DBD-916B-FE2BF2CC3C4F}" name="SAL 5" dataDxfId="20"/>
    <tableColumn id="16" xr3:uid="{11C54986-01F9-4085-847A-22E7BD20E747}" name="SAL 6" dataDxfId="19"/>
    <tableColumn id="17" xr3:uid="{200D2CF0-B6A0-4159-BEAB-51AD71D9CF66}" name="SAL 7" dataDxfId="18"/>
    <tableColumn id="26" xr3:uid="{4FC64DB0-818E-430F-93E7-3D42673A09C1}" name="SAL 8" dataDxfId="17"/>
    <tableColumn id="27" xr3:uid="{B0568039-60EC-41BE-94A2-F56896D1FD44}" name="SAL 9" dataDxfId="16"/>
    <tableColumn id="28" xr3:uid="{CC8B020C-85ED-4873-BAF3-7DB7B21583F2}" name="SAL 10" dataDxfId="15"/>
    <tableColumn id="29" xr3:uid="{718D9EB3-CFE2-4535-AD0A-89C02C2EA608}" name="SAL 11" dataDxfId="14"/>
    <tableColumn id="30" xr3:uid="{BC79D700-6686-47D3-B6A1-259128C8CC01}" name="SAL 12" dataDxfId="13"/>
    <tableColumn id="31" xr3:uid="{E1791AE6-33E6-4438-A86A-3EF607CB1BE3}" name="SAL 13" dataDxfId="12"/>
    <tableColumn id="32" xr3:uid="{E3CC51BC-19DE-4611-951C-C7D024E89FE1}" name="SAL 14" dataDxfId="11"/>
    <tableColumn id="33" xr3:uid="{D400FC17-64A3-4DDC-92A3-02FA10006A75}" name="SAL 15" dataDxfId="10"/>
    <tableColumn id="34" xr3:uid="{FADB1DC4-8989-412B-8F33-D21A568B6240}" name="SAL 16" dataDxfId="9"/>
    <tableColumn id="5" xr3:uid="{FA946CD3-E3D9-4C92-B2B6-53CA26B291D4}" name="SAL 17" dataDxfId="8"/>
    <tableColumn id="6" xr3:uid="{C4744AC8-F9D0-4456-AEA0-A835CB598D82}" name="SAL 18" dataDxfId="7"/>
    <tableColumn id="23" xr3:uid="{E34D098F-96EC-4873-8B87-2C2B9DE49D0C}" name="SAL 19" dataDxfId="6"/>
    <tableColumn id="18" xr3:uid="{1C736D04-380B-4B0B-9B64-1C1A5615EBBD}" name="SAL 20" dataDxfId="5"/>
    <tableColumn id="19" xr3:uid="{CB967726-A29C-4C15-8635-FD36535B1F3E}" name="SAL 21" dataDxfId="4"/>
    <tableColumn id="20" xr3:uid="{17BEFBE1-8ABD-4C0E-86AA-7F3027131F4E}" name="SAL 22" dataDxfId="3"/>
    <tableColumn id="25" xr3:uid="{6EC9A856-3832-4B2A-B65F-DD817DCEA17E}" name="SAL 23" dataDxfId="2"/>
    <tableColumn id="24" xr3:uid="{8DF21EE3-F993-4090-8356-FA3A8FA92E44}" name="SAL 24" dataDxfId="1"/>
    <tableColumn id="21" xr3:uid="{8E8076B6-D72B-4746-9272-863BCD6D269D}" name="SALDO ECONOMATO" dataDxfId="0">
      <calculatedColumnFormula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7B1FB-4DFE-4850-97EA-D52EAA95DCA1}">
  <sheetPr>
    <tabColor theme="9" tint="-0.499984740745262"/>
  </sheetPr>
  <dimension ref="A1:AH119"/>
  <sheetViews>
    <sheetView tabSelected="1" zoomScale="70" zoomScaleNormal="70" workbookViewId="0">
      <selection activeCell="B12" sqref="B12"/>
    </sheetView>
  </sheetViews>
  <sheetFormatPr defaultColWidth="11.42578125" defaultRowHeight="15"/>
  <cols>
    <col min="1" max="1" width="7.28515625" customWidth="1"/>
    <col min="2" max="2" width="36.28515625" style="53" customWidth="1"/>
    <col min="3" max="3" width="13.42578125" customWidth="1"/>
    <col min="5" max="5" width="15.7109375" customWidth="1"/>
    <col min="6" max="6" width="11.42578125" style="19"/>
    <col min="7" max="7" width="14.85546875" customWidth="1"/>
    <col min="8" max="8" width="20.140625" customWidth="1"/>
    <col min="9" max="9" width="11.85546875" customWidth="1"/>
    <col min="10" max="21" width="11.42578125" customWidth="1"/>
    <col min="22" max="33" width="11.42578125" hidden="1" customWidth="1"/>
  </cols>
  <sheetData>
    <row r="1" spans="1:34" ht="45" customHeight="1" thickBot="1">
      <c r="A1" s="58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F1" s="60" t="s">
        <v>5</v>
      </c>
      <c r="G1" s="71" t="s">
        <v>6</v>
      </c>
      <c r="H1" s="77" t="s">
        <v>7</v>
      </c>
      <c r="I1" s="67" t="s">
        <v>8</v>
      </c>
      <c r="J1" s="54" t="s">
        <v>9</v>
      </c>
      <c r="K1" s="33" t="s">
        <v>10</v>
      </c>
      <c r="L1" s="33" t="s">
        <v>11</v>
      </c>
      <c r="M1" s="33" t="s">
        <v>12</v>
      </c>
      <c r="N1" s="33" t="s">
        <v>13</v>
      </c>
      <c r="O1" s="33" t="s">
        <v>14</v>
      </c>
      <c r="P1" s="67" t="s">
        <v>15</v>
      </c>
      <c r="Q1" s="54" t="s">
        <v>16</v>
      </c>
      <c r="R1" s="33" t="s">
        <v>17</v>
      </c>
      <c r="S1" s="33" t="s">
        <v>18</v>
      </c>
      <c r="T1" s="33" t="s">
        <v>19</v>
      </c>
      <c r="U1" s="33" t="s">
        <v>20</v>
      </c>
      <c r="V1" s="33" t="s">
        <v>21</v>
      </c>
      <c r="W1" s="67" t="s">
        <v>22</v>
      </c>
      <c r="X1" s="54" t="s">
        <v>23</v>
      </c>
      <c r="Y1" s="33" t="s">
        <v>24</v>
      </c>
      <c r="Z1" s="33" t="s">
        <v>25</v>
      </c>
      <c r="AA1" s="67" t="s">
        <v>26</v>
      </c>
      <c r="AB1" s="54" t="s">
        <v>27</v>
      </c>
      <c r="AC1" s="33" t="s">
        <v>28</v>
      </c>
      <c r="AD1" s="54" t="s">
        <v>29</v>
      </c>
      <c r="AE1" s="33" t="s">
        <v>30</v>
      </c>
      <c r="AF1" s="54" t="s">
        <v>31</v>
      </c>
      <c r="AG1" s="33" t="s">
        <v>32</v>
      </c>
      <c r="AH1" s="33" t="s">
        <v>33</v>
      </c>
    </row>
    <row r="2" spans="1:34" s="34" customFormat="1" ht="33.75">
      <c r="A2" s="61">
        <v>1</v>
      </c>
      <c r="B2" s="35" t="s">
        <v>34</v>
      </c>
      <c r="C2" s="36">
        <v>250</v>
      </c>
      <c r="D2" s="35" t="s">
        <v>3</v>
      </c>
      <c r="E2" s="35" t="s">
        <v>35</v>
      </c>
      <c r="F2" s="55" t="s">
        <v>36</v>
      </c>
      <c r="G2" s="72" t="s">
        <v>37</v>
      </c>
      <c r="H2" s="78"/>
      <c r="I2" s="75">
        <v>250</v>
      </c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3" spans="1:34" s="34" customFormat="1" ht="33.75">
      <c r="A3" s="62">
        <f>A2+1</f>
        <v>2</v>
      </c>
      <c r="B3" s="35" t="s">
        <v>38</v>
      </c>
      <c r="C3" s="36">
        <v>1</v>
      </c>
      <c r="D3" s="35" t="s">
        <v>39</v>
      </c>
      <c r="E3" s="37" t="s">
        <v>35</v>
      </c>
      <c r="F3" s="55" t="s">
        <v>36</v>
      </c>
      <c r="G3" s="73" t="s">
        <v>37</v>
      </c>
      <c r="H3" s="79"/>
      <c r="I3" s="75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1</v>
      </c>
    </row>
    <row r="4" spans="1:34" s="34" customFormat="1" ht="33.75">
      <c r="A4" s="62">
        <f t="shared" ref="A4:A38" si="0">A3+1</f>
        <v>3</v>
      </c>
      <c r="B4" s="35" t="s">
        <v>40</v>
      </c>
      <c r="C4" s="36">
        <v>1</v>
      </c>
      <c r="D4" s="35" t="s">
        <v>41</v>
      </c>
      <c r="E4" s="35" t="s">
        <v>35</v>
      </c>
      <c r="F4" s="55" t="s">
        <v>36</v>
      </c>
      <c r="G4" s="73" t="s">
        <v>37</v>
      </c>
      <c r="H4" s="79"/>
      <c r="I4" s="75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  <c r="AA4" s="68"/>
      <c r="AB4" s="68"/>
      <c r="AC4" s="68"/>
      <c r="AD4" s="68"/>
      <c r="AE4" s="68"/>
      <c r="AF4" s="68"/>
      <c r="AG4" s="68"/>
      <c r="AH4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1</v>
      </c>
    </row>
    <row r="5" spans="1:34" s="34" customFormat="1" ht="33.75">
      <c r="A5" s="62">
        <f t="shared" si="0"/>
        <v>4</v>
      </c>
      <c r="B5" s="35" t="s">
        <v>42</v>
      </c>
      <c r="C5" s="36">
        <v>1</v>
      </c>
      <c r="D5" s="35" t="s">
        <v>41</v>
      </c>
      <c r="E5" s="35" t="s">
        <v>35</v>
      </c>
      <c r="F5" s="55" t="s">
        <v>36</v>
      </c>
      <c r="G5" s="73" t="s">
        <v>37</v>
      </c>
      <c r="H5" s="79"/>
      <c r="I5" s="75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  <c r="AA5" s="68"/>
      <c r="AB5" s="68"/>
      <c r="AC5" s="68"/>
      <c r="AD5" s="68"/>
      <c r="AE5" s="68"/>
      <c r="AF5" s="68"/>
      <c r="AG5" s="68"/>
      <c r="AH5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1</v>
      </c>
    </row>
    <row r="6" spans="1:34" s="34" customFormat="1" ht="33.75">
      <c r="A6" s="62">
        <f t="shared" si="0"/>
        <v>5</v>
      </c>
      <c r="B6" s="35" t="s">
        <v>43</v>
      </c>
      <c r="C6" s="36">
        <v>1</v>
      </c>
      <c r="D6" s="35" t="s">
        <v>41</v>
      </c>
      <c r="E6" s="35" t="s">
        <v>35</v>
      </c>
      <c r="F6" s="55" t="s">
        <v>36</v>
      </c>
      <c r="G6" s="73" t="s">
        <v>37</v>
      </c>
      <c r="H6" s="79"/>
      <c r="I6" s="75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  <c r="AA6" s="68"/>
      <c r="AB6" s="68"/>
      <c r="AC6" s="68"/>
      <c r="AD6" s="68"/>
      <c r="AE6" s="68"/>
      <c r="AF6" s="68"/>
      <c r="AG6" s="68"/>
      <c r="AH6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1</v>
      </c>
    </row>
    <row r="7" spans="1:34" s="34" customFormat="1" ht="33.75">
      <c r="A7" s="62">
        <f t="shared" si="0"/>
        <v>6</v>
      </c>
      <c r="B7" s="35" t="s">
        <v>44</v>
      </c>
      <c r="C7" s="36">
        <v>5</v>
      </c>
      <c r="D7" s="35" t="s">
        <v>3</v>
      </c>
      <c r="E7" s="35" t="s">
        <v>35</v>
      </c>
      <c r="F7" s="55" t="s">
        <v>36</v>
      </c>
      <c r="G7" s="73" t="s">
        <v>37</v>
      </c>
      <c r="H7" s="79"/>
      <c r="I7" s="75">
        <v>5</v>
      </c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  <c r="AA7" s="68"/>
      <c r="AB7" s="68"/>
      <c r="AC7" s="68"/>
      <c r="AD7" s="68"/>
      <c r="AE7" s="68"/>
      <c r="AF7" s="68"/>
      <c r="AG7" s="68"/>
      <c r="AH7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8" spans="1:34" s="34" customFormat="1" ht="33.75">
      <c r="A8" s="62">
        <f t="shared" si="0"/>
        <v>7</v>
      </c>
      <c r="B8" s="35" t="s">
        <v>45</v>
      </c>
      <c r="C8" s="36">
        <v>5</v>
      </c>
      <c r="D8" s="35" t="s">
        <v>3</v>
      </c>
      <c r="E8" s="35" t="s">
        <v>35</v>
      </c>
      <c r="F8" s="55" t="s">
        <v>36</v>
      </c>
      <c r="G8" s="73" t="s">
        <v>37</v>
      </c>
      <c r="H8" s="79"/>
      <c r="I8" s="75">
        <v>5</v>
      </c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  <c r="AG8" s="68"/>
      <c r="AH8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9" spans="1:34" s="34" customFormat="1" ht="33.75">
      <c r="A9" s="62">
        <f t="shared" si="0"/>
        <v>8</v>
      </c>
      <c r="B9" s="35" t="s">
        <v>46</v>
      </c>
      <c r="C9" s="36">
        <v>50</v>
      </c>
      <c r="D9" s="35" t="s">
        <v>3</v>
      </c>
      <c r="E9" s="35" t="s">
        <v>35</v>
      </c>
      <c r="F9" s="55" t="s">
        <v>36</v>
      </c>
      <c r="G9" s="73" t="s">
        <v>37</v>
      </c>
      <c r="H9" s="79"/>
      <c r="I9" s="75">
        <v>50</v>
      </c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68"/>
      <c r="AE9" s="68"/>
      <c r="AF9" s="68"/>
      <c r="AG9" s="68"/>
      <c r="AH9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10" spans="1:34" s="34" customFormat="1" ht="33.75">
      <c r="A10" s="62">
        <f>A8+1</f>
        <v>8</v>
      </c>
      <c r="B10" s="35" t="s">
        <v>47</v>
      </c>
      <c r="C10" s="36">
        <v>10</v>
      </c>
      <c r="D10" s="35" t="s">
        <v>3</v>
      </c>
      <c r="E10" s="35" t="s">
        <v>35</v>
      </c>
      <c r="F10" s="55" t="s">
        <v>36</v>
      </c>
      <c r="G10" s="73" t="s">
        <v>37</v>
      </c>
      <c r="H10" s="79"/>
      <c r="I10" s="75">
        <v>10</v>
      </c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  <c r="AA10" s="68"/>
      <c r="AB10" s="68"/>
      <c r="AC10" s="68"/>
      <c r="AD10" s="68"/>
      <c r="AE10" s="68"/>
      <c r="AF10" s="68"/>
      <c r="AG10" s="68"/>
      <c r="AH10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11" spans="1:34" s="34" customFormat="1" ht="33.75">
      <c r="A11" s="62">
        <f t="shared" si="0"/>
        <v>9</v>
      </c>
      <c r="B11" s="35" t="s">
        <v>48</v>
      </c>
      <c r="C11" s="36">
        <v>5</v>
      </c>
      <c r="D11" s="35" t="s">
        <v>3</v>
      </c>
      <c r="E11" s="35" t="s">
        <v>35</v>
      </c>
      <c r="F11" s="55" t="s">
        <v>36</v>
      </c>
      <c r="G11" s="73" t="s">
        <v>37</v>
      </c>
      <c r="H11" s="79"/>
      <c r="I11" s="75">
        <v>5</v>
      </c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  <c r="AA11" s="68"/>
      <c r="AB11" s="68"/>
      <c r="AC11" s="68"/>
      <c r="AD11" s="68"/>
      <c r="AE11" s="68"/>
      <c r="AF11" s="68"/>
      <c r="AG11" s="68"/>
      <c r="AH11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12" spans="1:34" s="34" customFormat="1" ht="33.75">
      <c r="A12" s="62">
        <f t="shared" si="0"/>
        <v>10</v>
      </c>
      <c r="B12" s="35" t="s">
        <v>49</v>
      </c>
      <c r="C12" s="36">
        <v>250</v>
      </c>
      <c r="D12" s="35" t="s">
        <v>3</v>
      </c>
      <c r="E12" s="35" t="s">
        <v>35</v>
      </c>
      <c r="F12" s="55" t="s">
        <v>36</v>
      </c>
      <c r="G12" s="73" t="s">
        <v>37</v>
      </c>
      <c r="H12" s="79"/>
      <c r="I12" s="75"/>
      <c r="J12" s="68"/>
      <c r="K12" s="68">
        <v>50</v>
      </c>
      <c r="L12" s="68"/>
      <c r="M12" s="68"/>
      <c r="N12" s="68"/>
      <c r="O12" s="68"/>
      <c r="P12" s="68">
        <v>50</v>
      </c>
      <c r="Q12" s="68"/>
      <c r="R12" s="68">
        <v>50</v>
      </c>
      <c r="S12" s="68">
        <v>50</v>
      </c>
      <c r="T12" s="68">
        <v>50</v>
      </c>
      <c r="U12" s="68"/>
      <c r="V12" s="68"/>
      <c r="W12" s="68"/>
      <c r="X12" s="68"/>
      <c r="Y12" s="68"/>
      <c r="Z12" s="68"/>
      <c r="AA12" s="68"/>
      <c r="AB12" s="68"/>
      <c r="AC12" s="68"/>
      <c r="AD12" s="68"/>
      <c r="AE12" s="68"/>
      <c r="AF12" s="68"/>
      <c r="AG12" s="68"/>
      <c r="AH12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13" spans="1:34" s="34" customFormat="1" ht="33.75">
      <c r="A13" s="62">
        <f t="shared" si="0"/>
        <v>11</v>
      </c>
      <c r="B13" s="35" t="s">
        <v>50</v>
      </c>
      <c r="C13" s="36">
        <v>1</v>
      </c>
      <c r="D13" s="35" t="s">
        <v>3</v>
      </c>
      <c r="E13" s="35" t="s">
        <v>35</v>
      </c>
      <c r="F13" s="55" t="s">
        <v>36</v>
      </c>
      <c r="G13" s="73" t="s">
        <v>37</v>
      </c>
      <c r="H13" s="79"/>
      <c r="I13" s="75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  <c r="AA13" s="68"/>
      <c r="AB13" s="68"/>
      <c r="AC13" s="68"/>
      <c r="AD13" s="68"/>
      <c r="AE13" s="68"/>
      <c r="AF13" s="68"/>
      <c r="AG13" s="68"/>
      <c r="AH13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1</v>
      </c>
    </row>
    <row r="14" spans="1:34" s="34" customFormat="1" ht="33.75">
      <c r="A14" s="62">
        <f t="shared" si="0"/>
        <v>12</v>
      </c>
      <c r="B14" s="35" t="s">
        <v>51</v>
      </c>
      <c r="C14" s="36">
        <v>5</v>
      </c>
      <c r="D14" s="35" t="s">
        <v>52</v>
      </c>
      <c r="E14" s="35" t="s">
        <v>35</v>
      </c>
      <c r="F14" s="55" t="s">
        <v>36</v>
      </c>
      <c r="G14" s="73" t="s">
        <v>37</v>
      </c>
      <c r="H14" s="79"/>
      <c r="I14" s="75">
        <v>5</v>
      </c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15" spans="1:34" s="34" customFormat="1" ht="33.75">
      <c r="A15" s="62">
        <f t="shared" si="0"/>
        <v>13</v>
      </c>
      <c r="B15" s="35" t="s">
        <v>53</v>
      </c>
      <c r="C15" s="36">
        <v>6</v>
      </c>
      <c r="D15" s="35" t="s">
        <v>3</v>
      </c>
      <c r="E15" s="35" t="s">
        <v>35</v>
      </c>
      <c r="F15" s="55" t="s">
        <v>36</v>
      </c>
      <c r="G15" s="73" t="s">
        <v>37</v>
      </c>
      <c r="H15" s="79"/>
      <c r="I15" s="75">
        <v>6</v>
      </c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  <c r="AA15" s="68"/>
      <c r="AB15" s="68"/>
      <c r="AC15" s="68"/>
      <c r="AD15" s="68"/>
      <c r="AE15" s="68"/>
      <c r="AF15" s="68"/>
      <c r="AG15" s="68"/>
      <c r="AH15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16" spans="1:34" s="34" customFormat="1" ht="33.75">
      <c r="A16" s="62">
        <f t="shared" si="0"/>
        <v>14</v>
      </c>
      <c r="B16" s="35" t="s">
        <v>54</v>
      </c>
      <c r="C16" s="36">
        <v>6</v>
      </c>
      <c r="D16" s="35" t="s">
        <v>3</v>
      </c>
      <c r="E16" s="35" t="s">
        <v>35</v>
      </c>
      <c r="F16" s="55" t="s">
        <v>36</v>
      </c>
      <c r="G16" s="73" t="s">
        <v>37</v>
      </c>
      <c r="H16" s="79"/>
      <c r="I16" s="75">
        <v>6</v>
      </c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17" spans="1:34" s="34" customFormat="1" ht="33.75">
      <c r="A17" s="62">
        <f t="shared" si="0"/>
        <v>15</v>
      </c>
      <c r="B17" s="35" t="s">
        <v>55</v>
      </c>
      <c r="C17" s="36">
        <v>1</v>
      </c>
      <c r="D17" s="35" t="s">
        <v>3</v>
      </c>
      <c r="E17" s="35" t="s">
        <v>35</v>
      </c>
      <c r="F17" s="55" t="s">
        <v>36</v>
      </c>
      <c r="G17" s="73" t="s">
        <v>37</v>
      </c>
      <c r="H17" s="79"/>
      <c r="I17" s="75">
        <v>1</v>
      </c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  <c r="AA17" s="68"/>
      <c r="AB17" s="68"/>
      <c r="AC17" s="68"/>
      <c r="AD17" s="68"/>
      <c r="AE17" s="68"/>
      <c r="AF17" s="68"/>
      <c r="AG17" s="68"/>
      <c r="AH17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18" spans="1:34" s="34" customFormat="1" ht="33.75">
      <c r="A18" s="62">
        <f t="shared" si="0"/>
        <v>16</v>
      </c>
      <c r="B18" s="35" t="s">
        <v>56</v>
      </c>
      <c r="C18" s="36">
        <v>24</v>
      </c>
      <c r="D18" s="35" t="s">
        <v>3</v>
      </c>
      <c r="E18" s="35" t="s">
        <v>35</v>
      </c>
      <c r="F18" s="55" t="s">
        <v>36</v>
      </c>
      <c r="G18" s="73" t="s">
        <v>37</v>
      </c>
      <c r="H18" s="79"/>
      <c r="I18" s="75">
        <v>24</v>
      </c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  <c r="AA18" s="68"/>
      <c r="AB18" s="68"/>
      <c r="AC18" s="68"/>
      <c r="AD18" s="68"/>
      <c r="AE18" s="68"/>
      <c r="AF18" s="68"/>
      <c r="AG18" s="68"/>
      <c r="AH18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19" spans="1:34" s="34" customFormat="1" ht="33.75">
      <c r="A19" s="62">
        <f t="shared" si="0"/>
        <v>17</v>
      </c>
      <c r="B19" s="35" t="s">
        <v>57</v>
      </c>
      <c r="C19" s="36">
        <v>30</v>
      </c>
      <c r="D19" s="35" t="s">
        <v>3</v>
      </c>
      <c r="E19" s="35" t="s">
        <v>35</v>
      </c>
      <c r="F19" s="55" t="s">
        <v>36</v>
      </c>
      <c r="G19" s="73" t="s">
        <v>37</v>
      </c>
      <c r="H19" s="79" t="s">
        <v>58</v>
      </c>
      <c r="I19" s="75">
        <v>30</v>
      </c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8"/>
      <c r="AD19" s="68"/>
      <c r="AE19" s="68"/>
      <c r="AF19" s="68"/>
      <c r="AG19" s="68"/>
      <c r="AH19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20" spans="1:34" s="34" customFormat="1" ht="33.75">
      <c r="A20" s="62">
        <f t="shared" si="0"/>
        <v>18</v>
      </c>
      <c r="B20" s="35" t="s">
        <v>59</v>
      </c>
      <c r="C20" s="36">
        <v>50</v>
      </c>
      <c r="D20" s="35" t="s">
        <v>3</v>
      </c>
      <c r="E20" s="35" t="s">
        <v>35</v>
      </c>
      <c r="F20" s="55" t="s">
        <v>36</v>
      </c>
      <c r="G20" s="73" t="s">
        <v>37</v>
      </c>
      <c r="H20" s="79"/>
      <c r="I20" s="75"/>
      <c r="J20" s="68"/>
      <c r="K20" s="68">
        <v>10</v>
      </c>
      <c r="L20" s="68"/>
      <c r="M20" s="68">
        <v>10</v>
      </c>
      <c r="N20" s="68"/>
      <c r="O20" s="68"/>
      <c r="P20" s="68"/>
      <c r="Q20" s="68"/>
      <c r="R20" s="68">
        <v>10</v>
      </c>
      <c r="S20" s="68">
        <v>15</v>
      </c>
      <c r="T20" s="68"/>
      <c r="U20" s="68"/>
      <c r="V20" s="68"/>
      <c r="W20" s="68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5</v>
      </c>
    </row>
    <row r="21" spans="1:34" s="34" customFormat="1" ht="33.75">
      <c r="A21" s="62">
        <f t="shared" si="0"/>
        <v>19</v>
      </c>
      <c r="B21" s="35" t="s">
        <v>60</v>
      </c>
      <c r="C21" s="36">
        <v>50</v>
      </c>
      <c r="D21" s="35" t="s">
        <v>3</v>
      </c>
      <c r="E21" s="35" t="s">
        <v>35</v>
      </c>
      <c r="F21" s="55" t="s">
        <v>36</v>
      </c>
      <c r="G21" s="73" t="s">
        <v>37</v>
      </c>
      <c r="H21" s="79"/>
      <c r="I21" s="75"/>
      <c r="J21" s="68"/>
      <c r="K21" s="68">
        <v>10</v>
      </c>
      <c r="L21" s="68"/>
      <c r="M21" s="68">
        <v>10</v>
      </c>
      <c r="N21" s="68"/>
      <c r="O21" s="68"/>
      <c r="P21" s="68">
        <v>10</v>
      </c>
      <c r="Q21" s="68"/>
      <c r="R21" s="68"/>
      <c r="S21" s="68"/>
      <c r="T21" s="68">
        <v>10</v>
      </c>
      <c r="U21" s="68"/>
      <c r="V21" s="68"/>
      <c r="W21" s="68"/>
      <c r="X21" s="68"/>
      <c r="Y21" s="68"/>
      <c r="Z21" s="68"/>
      <c r="AA21" s="68"/>
      <c r="AB21" s="68"/>
      <c r="AC21" s="68"/>
      <c r="AD21" s="68"/>
      <c r="AE21" s="68"/>
      <c r="AF21" s="68"/>
      <c r="AG21" s="68"/>
      <c r="AH21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10</v>
      </c>
    </row>
    <row r="22" spans="1:34" s="34" customFormat="1" ht="33.75">
      <c r="A22" s="62">
        <f t="shared" si="0"/>
        <v>20</v>
      </c>
      <c r="B22" s="37" t="s">
        <v>61</v>
      </c>
      <c r="C22" s="38">
        <v>70</v>
      </c>
      <c r="D22" s="37" t="s">
        <v>3</v>
      </c>
      <c r="E22" s="35" t="s">
        <v>35</v>
      </c>
      <c r="F22" s="55" t="s">
        <v>36</v>
      </c>
      <c r="G22" s="73" t="s">
        <v>37</v>
      </c>
      <c r="H22" s="79"/>
      <c r="I22" s="75"/>
      <c r="J22" s="68"/>
      <c r="K22" s="68">
        <v>10</v>
      </c>
      <c r="L22" s="68"/>
      <c r="M22" s="68">
        <v>10</v>
      </c>
      <c r="N22" s="68"/>
      <c r="O22" s="68"/>
      <c r="P22" s="68">
        <v>15</v>
      </c>
      <c r="Q22" s="68"/>
      <c r="R22" s="68">
        <v>10</v>
      </c>
      <c r="S22" s="68"/>
      <c r="T22" s="68">
        <v>15</v>
      </c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10</v>
      </c>
    </row>
    <row r="23" spans="1:34" s="34" customFormat="1" ht="33.75">
      <c r="A23" s="62">
        <f t="shared" si="0"/>
        <v>21</v>
      </c>
      <c r="B23" s="35" t="s">
        <v>62</v>
      </c>
      <c r="C23" s="36">
        <v>10</v>
      </c>
      <c r="D23" s="35" t="s">
        <v>3</v>
      </c>
      <c r="E23" s="35" t="s">
        <v>35</v>
      </c>
      <c r="F23" s="55" t="s">
        <v>36</v>
      </c>
      <c r="G23" s="73" t="s">
        <v>37</v>
      </c>
      <c r="H23" s="79"/>
      <c r="I23" s="75">
        <v>10</v>
      </c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  <c r="AA23" s="68"/>
      <c r="AB23" s="68"/>
      <c r="AC23" s="68"/>
      <c r="AD23" s="68"/>
      <c r="AE23" s="68"/>
      <c r="AF23" s="68"/>
      <c r="AG23" s="68"/>
      <c r="AH23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24" spans="1:34" s="34" customFormat="1" ht="33.75">
      <c r="A24" s="62">
        <f t="shared" si="0"/>
        <v>22</v>
      </c>
      <c r="B24" s="35" t="s">
        <v>63</v>
      </c>
      <c r="C24" s="36">
        <v>2</v>
      </c>
      <c r="D24" s="35" t="s">
        <v>3</v>
      </c>
      <c r="E24" s="35" t="s">
        <v>35</v>
      </c>
      <c r="F24" s="55" t="s">
        <v>36</v>
      </c>
      <c r="G24" s="73" t="s">
        <v>37</v>
      </c>
      <c r="H24" s="79"/>
      <c r="I24" s="75"/>
      <c r="J24" s="68"/>
      <c r="K24" s="68">
        <v>2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25" spans="1:34" s="34" customFormat="1" ht="33.75">
      <c r="A25" s="62">
        <f t="shared" si="0"/>
        <v>23</v>
      </c>
      <c r="B25" s="35" t="s">
        <v>64</v>
      </c>
      <c r="C25" s="36">
        <v>2</v>
      </c>
      <c r="D25" s="35" t="s">
        <v>3</v>
      </c>
      <c r="E25" s="35" t="s">
        <v>35</v>
      </c>
      <c r="F25" s="55" t="s">
        <v>36</v>
      </c>
      <c r="G25" s="73" t="s">
        <v>37</v>
      </c>
      <c r="H25" s="79"/>
      <c r="I25" s="75"/>
      <c r="J25" s="68"/>
      <c r="K25" s="68">
        <v>2</v>
      </c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  <c r="AA25" s="68"/>
      <c r="AB25" s="68"/>
      <c r="AC25" s="68"/>
      <c r="AD25" s="68"/>
      <c r="AE25" s="68"/>
      <c r="AF25" s="68"/>
      <c r="AG25" s="68"/>
      <c r="AH25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26" spans="1:34" s="34" customFormat="1" ht="33.75">
      <c r="A26" s="62">
        <f t="shared" si="0"/>
        <v>24</v>
      </c>
      <c r="B26" s="35" t="s">
        <v>65</v>
      </c>
      <c r="C26" s="36">
        <v>3</v>
      </c>
      <c r="D26" s="35" t="s">
        <v>39</v>
      </c>
      <c r="E26" s="35" t="s">
        <v>35</v>
      </c>
      <c r="F26" s="55" t="s">
        <v>36</v>
      </c>
      <c r="G26" s="73" t="s">
        <v>66</v>
      </c>
      <c r="H26" s="79"/>
      <c r="I26" s="75">
        <v>3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27" spans="1:34" s="34" customFormat="1" ht="33.75">
      <c r="A27" s="62">
        <f t="shared" si="0"/>
        <v>25</v>
      </c>
      <c r="B27" s="35" t="s">
        <v>67</v>
      </c>
      <c r="C27" s="36">
        <v>100</v>
      </c>
      <c r="D27" s="35" t="s">
        <v>68</v>
      </c>
      <c r="E27" s="35" t="s">
        <v>35</v>
      </c>
      <c r="F27" s="55" t="s">
        <v>36</v>
      </c>
      <c r="G27" s="73" t="s">
        <v>37</v>
      </c>
      <c r="H27" s="79"/>
      <c r="I27" s="75">
        <v>100</v>
      </c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  <c r="AA27" s="68"/>
      <c r="AB27" s="68"/>
      <c r="AC27" s="68"/>
      <c r="AD27" s="68"/>
      <c r="AE27" s="68"/>
      <c r="AF27" s="68"/>
      <c r="AG27" s="68"/>
      <c r="AH27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28" spans="1:34" s="34" customFormat="1" ht="33.75">
      <c r="A28" s="62">
        <f t="shared" si="0"/>
        <v>26</v>
      </c>
      <c r="B28" s="35" t="s">
        <v>69</v>
      </c>
      <c r="C28" s="36">
        <v>1</v>
      </c>
      <c r="D28" s="35" t="s">
        <v>3</v>
      </c>
      <c r="E28" s="35" t="s">
        <v>35</v>
      </c>
      <c r="F28" s="55" t="s">
        <v>36</v>
      </c>
      <c r="G28" s="73" t="s">
        <v>37</v>
      </c>
      <c r="H28" s="79"/>
      <c r="I28" s="75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  <c r="AA28" s="68"/>
      <c r="AB28" s="68"/>
      <c r="AC28" s="68"/>
      <c r="AD28" s="68"/>
      <c r="AE28" s="68"/>
      <c r="AF28" s="68"/>
      <c r="AG28" s="68"/>
      <c r="AH28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1</v>
      </c>
    </row>
    <row r="29" spans="1:34" s="34" customFormat="1" ht="33.75">
      <c r="A29" s="62">
        <f t="shared" si="0"/>
        <v>27</v>
      </c>
      <c r="B29" s="35" t="s">
        <v>70</v>
      </c>
      <c r="C29" s="36">
        <v>18</v>
      </c>
      <c r="D29" s="35" t="s">
        <v>3</v>
      </c>
      <c r="E29" s="35" t="s">
        <v>35</v>
      </c>
      <c r="F29" s="55" t="s">
        <v>36</v>
      </c>
      <c r="G29" s="73" t="s">
        <v>37</v>
      </c>
      <c r="H29" s="79"/>
      <c r="I29" s="75"/>
      <c r="J29" s="68"/>
      <c r="K29" s="68">
        <v>8</v>
      </c>
      <c r="L29" s="68"/>
      <c r="M29" s="68"/>
      <c r="N29" s="68"/>
      <c r="O29" s="68">
        <v>6</v>
      </c>
      <c r="P29" s="68"/>
      <c r="Q29" s="68"/>
      <c r="R29" s="68">
        <v>4</v>
      </c>
      <c r="S29" s="68"/>
      <c r="T29" s="68"/>
      <c r="U29" s="68"/>
      <c r="V29" s="68"/>
      <c r="W29" s="68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30" spans="1:34" s="34" customFormat="1" ht="33.75">
      <c r="A30" s="62">
        <f t="shared" si="0"/>
        <v>28</v>
      </c>
      <c r="B30" s="35" t="s">
        <v>71</v>
      </c>
      <c r="C30" s="36">
        <v>250</v>
      </c>
      <c r="D30" s="35" t="s">
        <v>3</v>
      </c>
      <c r="E30" s="35" t="s">
        <v>35</v>
      </c>
      <c r="F30" s="55" t="s">
        <v>36</v>
      </c>
      <c r="G30" s="73" t="s">
        <v>37</v>
      </c>
      <c r="H30" s="79"/>
      <c r="I30" s="75"/>
      <c r="J30" s="68"/>
      <c r="K30" s="68">
        <v>24</v>
      </c>
      <c r="L30" s="68"/>
      <c r="M30" s="68">
        <v>24</v>
      </c>
      <c r="N30" s="68"/>
      <c r="O30" s="68">
        <v>36</v>
      </c>
      <c r="P30" s="68">
        <v>36</v>
      </c>
      <c r="Q30" s="68"/>
      <c r="R30" s="68">
        <v>36</v>
      </c>
      <c r="S30" s="68">
        <v>36</v>
      </c>
      <c r="T30" s="68">
        <v>36</v>
      </c>
      <c r="U30" s="68"/>
      <c r="V30" s="68"/>
      <c r="W30" s="68"/>
      <c r="X30" s="68"/>
      <c r="Y30" s="68"/>
      <c r="Z30" s="68"/>
      <c r="AA30" s="68"/>
      <c r="AB30" s="68"/>
      <c r="AC30" s="68"/>
      <c r="AD30" s="68"/>
      <c r="AE30" s="68"/>
      <c r="AF30" s="68"/>
      <c r="AG30" s="68"/>
      <c r="AH30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22</v>
      </c>
    </row>
    <row r="31" spans="1:34" s="34" customFormat="1" ht="33.75">
      <c r="A31" s="62">
        <f t="shared" si="0"/>
        <v>29</v>
      </c>
      <c r="B31" s="35" t="s">
        <v>72</v>
      </c>
      <c r="C31" s="36">
        <v>4</v>
      </c>
      <c r="D31" s="35" t="s">
        <v>39</v>
      </c>
      <c r="E31" s="35" t="s">
        <v>35</v>
      </c>
      <c r="F31" s="55" t="s">
        <v>36</v>
      </c>
      <c r="G31" s="73" t="s">
        <v>37</v>
      </c>
      <c r="H31" s="79"/>
      <c r="I31" s="75"/>
      <c r="J31" s="68"/>
      <c r="K31" s="68"/>
      <c r="L31" s="68"/>
      <c r="M31" s="68"/>
      <c r="N31" s="68"/>
      <c r="O31" s="68">
        <v>1</v>
      </c>
      <c r="P31" s="68">
        <v>1</v>
      </c>
      <c r="Q31" s="68"/>
      <c r="R31" s="68"/>
      <c r="S31" s="68"/>
      <c r="T31" s="68"/>
      <c r="U31" s="68"/>
      <c r="V31" s="68"/>
      <c r="W31" s="68"/>
      <c r="X31" s="68"/>
      <c r="Y31" s="68"/>
      <c r="Z31" s="68"/>
      <c r="AA31" s="68"/>
      <c r="AB31" s="68"/>
      <c r="AC31" s="68"/>
      <c r="AD31" s="68"/>
      <c r="AE31" s="68"/>
      <c r="AF31" s="68"/>
      <c r="AG31" s="68"/>
      <c r="AH31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2</v>
      </c>
    </row>
    <row r="32" spans="1:34" s="34" customFormat="1" ht="33.75">
      <c r="A32" s="62">
        <f t="shared" si="0"/>
        <v>30</v>
      </c>
      <c r="B32" s="35" t="s">
        <v>73</v>
      </c>
      <c r="C32" s="36">
        <v>2</v>
      </c>
      <c r="D32" s="35" t="s">
        <v>3</v>
      </c>
      <c r="E32" s="35" t="s">
        <v>35</v>
      </c>
      <c r="F32" s="55" t="s">
        <v>36</v>
      </c>
      <c r="G32" s="73" t="s">
        <v>37</v>
      </c>
      <c r="H32" s="79"/>
      <c r="I32" s="75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2</v>
      </c>
    </row>
    <row r="33" spans="1:34" s="34" customFormat="1" ht="33.75">
      <c r="A33" s="62">
        <f t="shared" si="0"/>
        <v>31</v>
      </c>
      <c r="B33" s="35" t="s">
        <v>74</v>
      </c>
      <c r="C33" s="36">
        <v>4</v>
      </c>
      <c r="D33" s="35" t="s">
        <v>3</v>
      </c>
      <c r="E33" s="35" t="s">
        <v>35</v>
      </c>
      <c r="F33" s="55" t="s">
        <v>36</v>
      </c>
      <c r="G33" s="73" t="s">
        <v>37</v>
      </c>
      <c r="H33" s="79"/>
      <c r="I33" s="75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  <c r="AA33" s="68"/>
      <c r="AB33" s="68"/>
      <c r="AC33" s="68"/>
      <c r="AD33" s="68"/>
      <c r="AE33" s="68"/>
      <c r="AF33" s="68"/>
      <c r="AG33" s="68"/>
      <c r="AH33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4</v>
      </c>
    </row>
    <row r="34" spans="1:34" s="34" customFormat="1" ht="33.75">
      <c r="A34" s="62">
        <f t="shared" si="0"/>
        <v>32</v>
      </c>
      <c r="B34" s="35" t="s">
        <v>75</v>
      </c>
      <c r="C34" s="36">
        <v>50</v>
      </c>
      <c r="D34" s="35" t="s">
        <v>3</v>
      </c>
      <c r="E34" s="35" t="s">
        <v>35</v>
      </c>
      <c r="F34" s="55" t="s">
        <v>36</v>
      </c>
      <c r="G34" s="73" t="s">
        <v>66</v>
      </c>
      <c r="H34" s="79"/>
      <c r="I34" s="75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  <c r="AA34" s="68"/>
      <c r="AB34" s="68"/>
      <c r="AC34" s="68"/>
      <c r="AD34" s="68"/>
      <c r="AE34" s="68"/>
      <c r="AF34" s="68"/>
      <c r="AG34" s="68"/>
      <c r="AH34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50</v>
      </c>
    </row>
    <row r="35" spans="1:34" s="34" customFormat="1" ht="33.75">
      <c r="A35" s="62">
        <f t="shared" si="0"/>
        <v>33</v>
      </c>
      <c r="B35" s="35" t="s">
        <v>76</v>
      </c>
      <c r="C35" s="36">
        <v>50</v>
      </c>
      <c r="D35" s="35" t="s">
        <v>3</v>
      </c>
      <c r="E35" s="35" t="s">
        <v>35</v>
      </c>
      <c r="F35" s="55" t="s">
        <v>36</v>
      </c>
      <c r="G35" s="73" t="s">
        <v>37</v>
      </c>
      <c r="H35" s="79"/>
      <c r="I35" s="75"/>
      <c r="J35" s="68"/>
      <c r="K35" s="68"/>
      <c r="L35" s="68"/>
      <c r="M35" s="68"/>
      <c r="N35" s="68">
        <v>50</v>
      </c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  <c r="AA35" s="68"/>
      <c r="AB35" s="68"/>
      <c r="AC35" s="68"/>
      <c r="AD35" s="68"/>
      <c r="AE35" s="68"/>
      <c r="AF35" s="68"/>
      <c r="AG35" s="68"/>
      <c r="AH35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36" spans="1:34" s="34" customFormat="1" ht="33.75">
      <c r="A36" s="62">
        <f t="shared" si="0"/>
        <v>34</v>
      </c>
      <c r="B36" s="35" t="s">
        <v>77</v>
      </c>
      <c r="C36" s="36">
        <v>50</v>
      </c>
      <c r="D36" s="35" t="s">
        <v>3</v>
      </c>
      <c r="E36" s="35" t="s">
        <v>35</v>
      </c>
      <c r="F36" s="55" t="s">
        <v>36</v>
      </c>
      <c r="G36" s="73" t="s">
        <v>37</v>
      </c>
      <c r="H36" s="79"/>
      <c r="I36" s="75"/>
      <c r="J36" s="68"/>
      <c r="K36" s="68"/>
      <c r="L36" s="68"/>
      <c r="M36" s="68"/>
      <c r="N36" s="68">
        <v>50</v>
      </c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  <c r="AA36" s="68"/>
      <c r="AB36" s="68"/>
      <c r="AC36" s="68"/>
      <c r="AD36" s="68"/>
      <c r="AE36" s="68"/>
      <c r="AF36" s="68"/>
      <c r="AG36" s="68"/>
      <c r="AH36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37" spans="1:34" s="34" customFormat="1" ht="33.75">
      <c r="A37" s="62">
        <f>A35+1</f>
        <v>34</v>
      </c>
      <c r="B37" s="35" t="s">
        <v>78</v>
      </c>
      <c r="C37" s="36">
        <v>50</v>
      </c>
      <c r="D37" s="35" t="s">
        <v>3</v>
      </c>
      <c r="E37" s="35" t="s">
        <v>35</v>
      </c>
      <c r="F37" s="55" t="s">
        <v>36</v>
      </c>
      <c r="G37" s="73" t="s">
        <v>37</v>
      </c>
      <c r="H37" s="79"/>
      <c r="I37" s="75"/>
      <c r="J37" s="68"/>
      <c r="K37" s="68"/>
      <c r="L37" s="68"/>
      <c r="M37" s="68"/>
      <c r="N37" s="68">
        <v>50</v>
      </c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  <c r="AA37" s="68"/>
      <c r="AB37" s="68"/>
      <c r="AC37" s="68"/>
      <c r="AD37" s="68"/>
      <c r="AE37" s="68"/>
      <c r="AF37" s="68"/>
      <c r="AG37" s="68"/>
      <c r="AH37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38" spans="1:34" s="34" customFormat="1" ht="33.75">
      <c r="A38" s="62">
        <f t="shared" si="0"/>
        <v>35</v>
      </c>
      <c r="B38" s="35" t="s">
        <v>79</v>
      </c>
      <c r="C38" s="36">
        <v>50</v>
      </c>
      <c r="D38" s="35" t="s">
        <v>3</v>
      </c>
      <c r="E38" s="35" t="s">
        <v>35</v>
      </c>
      <c r="F38" s="55" t="s">
        <v>36</v>
      </c>
      <c r="G38" s="73" t="s">
        <v>37</v>
      </c>
      <c r="H38" s="79"/>
      <c r="I38" s="75"/>
      <c r="J38" s="68"/>
      <c r="K38" s="68"/>
      <c r="L38" s="68"/>
      <c r="M38" s="68"/>
      <c r="N38" s="68"/>
      <c r="O38" s="68">
        <v>50</v>
      </c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  <c r="AA38" s="68"/>
      <c r="AB38" s="68"/>
      <c r="AC38" s="68"/>
      <c r="AD38" s="68"/>
      <c r="AE38" s="68"/>
      <c r="AF38" s="68"/>
      <c r="AG38" s="68"/>
      <c r="AH38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39" spans="1:34" s="34" customFormat="1" ht="22.5">
      <c r="A39" s="62">
        <v>1</v>
      </c>
      <c r="B39" s="39" t="s">
        <v>80</v>
      </c>
      <c r="C39" s="36">
        <v>1</v>
      </c>
      <c r="D39" s="35" t="s">
        <v>3</v>
      </c>
      <c r="E39" s="40" t="s">
        <v>81</v>
      </c>
      <c r="F39" s="55" t="s">
        <v>36</v>
      </c>
      <c r="G39" s="73" t="s">
        <v>37</v>
      </c>
      <c r="H39" s="79"/>
      <c r="I39" s="75">
        <v>1</v>
      </c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  <c r="AA39" s="68"/>
      <c r="AB39" s="68"/>
      <c r="AC39" s="68"/>
      <c r="AD39" s="68"/>
      <c r="AE39" s="68"/>
      <c r="AF39" s="68"/>
      <c r="AG39" s="68"/>
      <c r="AH39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40" spans="1:34" s="34" customFormat="1" ht="22.5">
      <c r="A40" s="61">
        <f>A39+1</f>
        <v>2</v>
      </c>
      <c r="B40" s="39" t="s">
        <v>82</v>
      </c>
      <c r="C40" s="38">
        <v>3</v>
      </c>
      <c r="D40" s="37" t="s">
        <v>83</v>
      </c>
      <c r="E40" s="40" t="s">
        <v>81</v>
      </c>
      <c r="F40" s="55" t="s">
        <v>36</v>
      </c>
      <c r="G40" s="73" t="s">
        <v>37</v>
      </c>
      <c r="H40" s="79"/>
      <c r="I40" s="75"/>
      <c r="J40" s="68"/>
      <c r="K40" s="68">
        <v>3</v>
      </c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  <c r="AA40" s="68"/>
      <c r="AB40" s="68"/>
      <c r="AC40" s="68"/>
      <c r="AD40" s="68"/>
      <c r="AE40" s="68"/>
      <c r="AF40" s="68"/>
      <c r="AG40" s="68"/>
      <c r="AH40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41" spans="1:34" s="34" customFormat="1" ht="22.5">
      <c r="A41" s="61">
        <f t="shared" ref="A41:A64" si="1">A40+1</f>
        <v>3</v>
      </c>
      <c r="B41" s="39" t="s">
        <v>84</v>
      </c>
      <c r="C41" s="36">
        <v>5</v>
      </c>
      <c r="D41" s="35" t="s">
        <v>3</v>
      </c>
      <c r="E41" s="40" t="s">
        <v>81</v>
      </c>
      <c r="F41" s="55" t="s">
        <v>36</v>
      </c>
      <c r="G41" s="73" t="s">
        <v>37</v>
      </c>
      <c r="H41" s="79"/>
      <c r="I41" s="76">
        <v>5</v>
      </c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42" spans="1:34" s="34" customFormat="1" ht="22.5">
      <c r="A42" s="61">
        <f t="shared" si="1"/>
        <v>4</v>
      </c>
      <c r="B42" s="39" t="s">
        <v>85</v>
      </c>
      <c r="C42" s="36">
        <v>10</v>
      </c>
      <c r="D42" s="35" t="s">
        <v>3</v>
      </c>
      <c r="E42" s="40" t="s">
        <v>81</v>
      </c>
      <c r="F42" s="55" t="s">
        <v>36</v>
      </c>
      <c r="G42" s="73" t="s">
        <v>37</v>
      </c>
      <c r="H42" s="79"/>
      <c r="I42" s="76">
        <v>10</v>
      </c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  <c r="AA42" s="68"/>
      <c r="AB42" s="68"/>
      <c r="AC42" s="68"/>
      <c r="AD42" s="68"/>
      <c r="AE42" s="68"/>
      <c r="AF42" s="68"/>
      <c r="AG42" s="68"/>
      <c r="AH42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43" spans="1:34" s="34" customFormat="1" ht="22.5">
      <c r="A43" s="61">
        <f t="shared" si="1"/>
        <v>5</v>
      </c>
      <c r="B43" s="39" t="s">
        <v>86</v>
      </c>
      <c r="C43" s="38">
        <v>50</v>
      </c>
      <c r="D43" s="37" t="s">
        <v>3</v>
      </c>
      <c r="E43" s="40" t="s">
        <v>81</v>
      </c>
      <c r="F43" s="55" t="s">
        <v>36</v>
      </c>
      <c r="G43" s="73" t="s">
        <v>37</v>
      </c>
      <c r="H43" s="79"/>
      <c r="I43" s="76">
        <v>50</v>
      </c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  <c r="AA43" s="68"/>
      <c r="AB43" s="68"/>
      <c r="AC43" s="68"/>
      <c r="AD43" s="68"/>
      <c r="AE43" s="68"/>
      <c r="AF43" s="68"/>
      <c r="AG43" s="68"/>
      <c r="AH43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44" spans="1:34" s="34" customFormat="1" ht="22.5">
      <c r="A44" s="61">
        <f t="shared" si="1"/>
        <v>6</v>
      </c>
      <c r="B44" s="39" t="s">
        <v>87</v>
      </c>
      <c r="C44" s="38">
        <v>5</v>
      </c>
      <c r="D44" s="37" t="s">
        <v>3</v>
      </c>
      <c r="E44" s="40" t="s">
        <v>81</v>
      </c>
      <c r="F44" s="55" t="s">
        <v>36</v>
      </c>
      <c r="G44" s="73" t="s">
        <v>37</v>
      </c>
      <c r="H44" s="79"/>
      <c r="I44" s="76">
        <v>5</v>
      </c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  <c r="AA44" s="68"/>
      <c r="AB44" s="68"/>
      <c r="AC44" s="68"/>
      <c r="AD44" s="68"/>
      <c r="AE44" s="68"/>
      <c r="AF44" s="68"/>
      <c r="AG44" s="68"/>
      <c r="AH44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45" spans="1:34" s="34" customFormat="1" ht="22.5">
      <c r="A45" s="61">
        <f t="shared" si="1"/>
        <v>7</v>
      </c>
      <c r="B45" s="39" t="s">
        <v>88</v>
      </c>
      <c r="C45" s="38">
        <v>3</v>
      </c>
      <c r="D45" s="37" t="s">
        <v>3</v>
      </c>
      <c r="E45" s="40" t="s">
        <v>81</v>
      </c>
      <c r="F45" s="55" t="s">
        <v>36</v>
      </c>
      <c r="G45" s="73" t="s">
        <v>37</v>
      </c>
      <c r="H45" s="79"/>
      <c r="I45" s="76">
        <v>3</v>
      </c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  <c r="AA45" s="68"/>
      <c r="AB45" s="68"/>
      <c r="AC45" s="68"/>
      <c r="AD45" s="68"/>
      <c r="AE45" s="68"/>
      <c r="AF45" s="68"/>
      <c r="AG45" s="68"/>
      <c r="AH45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46" spans="1:34" s="34" customFormat="1" ht="22.5">
      <c r="A46" s="61">
        <f t="shared" si="1"/>
        <v>8</v>
      </c>
      <c r="B46" s="41" t="s">
        <v>89</v>
      </c>
      <c r="C46" s="38">
        <v>5</v>
      </c>
      <c r="D46" s="37" t="s">
        <v>3</v>
      </c>
      <c r="E46" s="40" t="s">
        <v>81</v>
      </c>
      <c r="F46" s="55" t="s">
        <v>36</v>
      </c>
      <c r="G46" s="73" t="s">
        <v>37</v>
      </c>
      <c r="H46" s="79"/>
      <c r="I46" s="76">
        <v>5</v>
      </c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47" spans="1:34" s="34" customFormat="1" ht="22.5">
      <c r="A47" s="61">
        <f t="shared" si="1"/>
        <v>9</v>
      </c>
      <c r="B47" s="39" t="s">
        <v>90</v>
      </c>
      <c r="C47" s="36">
        <v>20</v>
      </c>
      <c r="D47" s="35" t="s">
        <v>3</v>
      </c>
      <c r="E47" s="40" t="s">
        <v>81</v>
      </c>
      <c r="F47" s="55" t="s">
        <v>36</v>
      </c>
      <c r="G47" s="73" t="s">
        <v>37</v>
      </c>
      <c r="H47" s="79"/>
      <c r="I47" s="76">
        <v>20</v>
      </c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48" spans="1:34" s="34" customFormat="1" ht="22.5">
      <c r="A48" s="61">
        <f t="shared" si="1"/>
        <v>10</v>
      </c>
      <c r="B48" s="39" t="s">
        <v>91</v>
      </c>
      <c r="C48" s="36">
        <v>1</v>
      </c>
      <c r="D48" s="35" t="s">
        <v>3</v>
      </c>
      <c r="E48" s="40" t="s">
        <v>81</v>
      </c>
      <c r="F48" s="55" t="s">
        <v>36</v>
      </c>
      <c r="G48" s="73" t="s">
        <v>37</v>
      </c>
      <c r="H48" s="79"/>
      <c r="I48" s="76">
        <v>1</v>
      </c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49" spans="1:34" s="34" customFormat="1" ht="22.5">
      <c r="A49" s="61">
        <f t="shared" si="1"/>
        <v>11</v>
      </c>
      <c r="B49" s="39" t="s">
        <v>92</v>
      </c>
      <c r="C49" s="36">
        <v>1</v>
      </c>
      <c r="D49" s="35" t="s">
        <v>3</v>
      </c>
      <c r="E49" s="40" t="s">
        <v>81</v>
      </c>
      <c r="F49" s="55" t="s">
        <v>36</v>
      </c>
      <c r="G49" s="73" t="s">
        <v>37</v>
      </c>
      <c r="H49" s="79"/>
      <c r="I49" s="76">
        <v>1</v>
      </c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50" spans="1:34" s="34" customFormat="1" ht="22.5">
      <c r="A50" s="61">
        <f t="shared" si="1"/>
        <v>12</v>
      </c>
      <c r="B50" s="39" t="s">
        <v>93</v>
      </c>
      <c r="C50" s="38">
        <v>8</v>
      </c>
      <c r="D50" s="37" t="s">
        <v>94</v>
      </c>
      <c r="E50" s="40" t="s">
        <v>81</v>
      </c>
      <c r="F50" s="55" t="s">
        <v>36</v>
      </c>
      <c r="G50" s="73" t="s">
        <v>37</v>
      </c>
      <c r="H50" s="79"/>
      <c r="I50" s="76">
        <v>8</v>
      </c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  <c r="AA50" s="68"/>
      <c r="AB50" s="68"/>
      <c r="AC50" s="68"/>
      <c r="AD50" s="68"/>
      <c r="AE50" s="68"/>
      <c r="AF50" s="68"/>
      <c r="AG50" s="68"/>
      <c r="AH50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51" spans="1:34" s="34" customFormat="1" ht="22.5">
      <c r="A51" s="61">
        <f t="shared" si="1"/>
        <v>13</v>
      </c>
      <c r="B51" s="39" t="s">
        <v>95</v>
      </c>
      <c r="C51" s="38">
        <v>10</v>
      </c>
      <c r="D51" s="37" t="s">
        <v>3</v>
      </c>
      <c r="E51" s="40" t="s">
        <v>81</v>
      </c>
      <c r="F51" s="55" t="s">
        <v>36</v>
      </c>
      <c r="G51" s="73" t="s">
        <v>37</v>
      </c>
      <c r="H51" s="79"/>
      <c r="I51" s="76">
        <v>10</v>
      </c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  <c r="AA51" s="68"/>
      <c r="AB51" s="68"/>
      <c r="AC51" s="68"/>
      <c r="AD51" s="68"/>
      <c r="AE51" s="68"/>
      <c r="AF51" s="68"/>
      <c r="AG51" s="68"/>
      <c r="AH51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52" spans="1:34" s="34" customFormat="1" ht="22.5">
      <c r="A52" s="61">
        <f t="shared" si="1"/>
        <v>14</v>
      </c>
      <c r="B52" s="39" t="s">
        <v>96</v>
      </c>
      <c r="C52" s="38">
        <v>10</v>
      </c>
      <c r="D52" s="37" t="s">
        <v>3</v>
      </c>
      <c r="E52" s="40" t="s">
        <v>81</v>
      </c>
      <c r="F52" s="55" t="s">
        <v>36</v>
      </c>
      <c r="G52" s="73" t="s">
        <v>37</v>
      </c>
      <c r="H52" s="79"/>
      <c r="I52" s="76">
        <v>10</v>
      </c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  <c r="AA52" s="68"/>
      <c r="AB52" s="68"/>
      <c r="AC52" s="68"/>
      <c r="AD52" s="68"/>
      <c r="AE52" s="68"/>
      <c r="AF52" s="68"/>
      <c r="AG52" s="68"/>
      <c r="AH52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53" spans="1:34" s="34" customFormat="1" ht="22.5">
      <c r="A53" s="61">
        <f t="shared" si="1"/>
        <v>15</v>
      </c>
      <c r="B53" s="39" t="s">
        <v>97</v>
      </c>
      <c r="C53" s="38">
        <v>5</v>
      </c>
      <c r="D53" s="37" t="s">
        <v>3</v>
      </c>
      <c r="E53" s="40" t="s">
        <v>81</v>
      </c>
      <c r="F53" s="55" t="s">
        <v>36</v>
      </c>
      <c r="G53" s="73" t="s">
        <v>37</v>
      </c>
      <c r="H53" s="79"/>
      <c r="I53" s="76">
        <v>5</v>
      </c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  <c r="AA53" s="68"/>
      <c r="AB53" s="68"/>
      <c r="AC53" s="68"/>
      <c r="AD53" s="68"/>
      <c r="AE53" s="68"/>
      <c r="AF53" s="68"/>
      <c r="AG53" s="68"/>
      <c r="AH53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54" spans="1:34" s="34" customFormat="1" ht="22.5">
      <c r="A54" s="61">
        <f t="shared" si="1"/>
        <v>16</v>
      </c>
      <c r="B54" s="39" t="s">
        <v>98</v>
      </c>
      <c r="C54" s="38">
        <v>4</v>
      </c>
      <c r="D54" s="37" t="s">
        <v>3</v>
      </c>
      <c r="E54" s="40" t="s">
        <v>81</v>
      </c>
      <c r="F54" s="55" t="s">
        <v>36</v>
      </c>
      <c r="G54" s="73" t="s">
        <v>37</v>
      </c>
      <c r="H54" s="79"/>
      <c r="I54" s="76">
        <v>4</v>
      </c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  <c r="AA54" s="68"/>
      <c r="AB54" s="68"/>
      <c r="AC54" s="68"/>
      <c r="AD54" s="68"/>
      <c r="AE54" s="68"/>
      <c r="AF54" s="68"/>
      <c r="AG54" s="68"/>
      <c r="AH54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55" spans="1:34" s="34" customFormat="1" ht="22.5">
      <c r="A55" s="61">
        <f t="shared" si="1"/>
        <v>17</v>
      </c>
      <c r="B55" s="39" t="s">
        <v>99</v>
      </c>
      <c r="C55" s="38">
        <v>4</v>
      </c>
      <c r="D55" s="37" t="s">
        <v>3</v>
      </c>
      <c r="E55" s="40" t="s">
        <v>81</v>
      </c>
      <c r="F55" s="55" t="s">
        <v>36</v>
      </c>
      <c r="G55" s="73" t="s">
        <v>37</v>
      </c>
      <c r="H55" s="79"/>
      <c r="I55" s="76">
        <v>4</v>
      </c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  <c r="AA55" s="68"/>
      <c r="AB55" s="68"/>
      <c r="AC55" s="68"/>
      <c r="AD55" s="68"/>
      <c r="AE55" s="68"/>
      <c r="AF55" s="68"/>
      <c r="AG55" s="68"/>
      <c r="AH55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56" spans="1:34" s="34" customFormat="1" ht="22.5">
      <c r="A56" s="61">
        <f t="shared" si="1"/>
        <v>18</v>
      </c>
      <c r="B56" s="39" t="s">
        <v>100</v>
      </c>
      <c r="C56" s="36">
        <v>15</v>
      </c>
      <c r="D56" s="35" t="s">
        <v>3</v>
      </c>
      <c r="E56" s="40" t="s">
        <v>81</v>
      </c>
      <c r="F56" s="55" t="s">
        <v>36</v>
      </c>
      <c r="G56" s="73" t="s">
        <v>37</v>
      </c>
      <c r="H56" s="79"/>
      <c r="I56" s="76">
        <v>15</v>
      </c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  <c r="AA56" s="68"/>
      <c r="AB56" s="68"/>
      <c r="AC56" s="68"/>
      <c r="AD56" s="68"/>
      <c r="AE56" s="68"/>
      <c r="AF56" s="68"/>
      <c r="AG56" s="68"/>
      <c r="AH56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57" spans="1:34" s="34" customFormat="1" ht="22.5">
      <c r="A57" s="61">
        <f t="shared" si="1"/>
        <v>19</v>
      </c>
      <c r="B57" s="39" t="s">
        <v>101</v>
      </c>
      <c r="C57" s="38">
        <v>1</v>
      </c>
      <c r="D57" s="37" t="s">
        <v>3</v>
      </c>
      <c r="E57" s="40" t="s">
        <v>81</v>
      </c>
      <c r="F57" s="55" t="s">
        <v>36</v>
      </c>
      <c r="G57" s="73" t="s">
        <v>37</v>
      </c>
      <c r="H57" s="79"/>
      <c r="I57" s="76">
        <v>1</v>
      </c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  <c r="AA57" s="68"/>
      <c r="AB57" s="68"/>
      <c r="AC57" s="68"/>
      <c r="AD57" s="68"/>
      <c r="AE57" s="68"/>
      <c r="AF57" s="68"/>
      <c r="AG57" s="68"/>
      <c r="AH57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58" spans="1:34" s="34" customFormat="1" ht="22.5">
      <c r="A58" s="61">
        <f t="shared" si="1"/>
        <v>20</v>
      </c>
      <c r="B58" s="39" t="s">
        <v>102</v>
      </c>
      <c r="C58" s="38">
        <v>1</v>
      </c>
      <c r="D58" s="37" t="s">
        <v>3</v>
      </c>
      <c r="E58" s="40" t="s">
        <v>81</v>
      </c>
      <c r="F58" s="55" t="s">
        <v>36</v>
      </c>
      <c r="G58" s="73" t="s">
        <v>37</v>
      </c>
      <c r="H58" s="79"/>
      <c r="I58" s="76">
        <v>1</v>
      </c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  <c r="AA58" s="68"/>
      <c r="AB58" s="68"/>
      <c r="AC58" s="68"/>
      <c r="AD58" s="68"/>
      <c r="AE58" s="68"/>
      <c r="AF58" s="68"/>
      <c r="AG58" s="68"/>
      <c r="AH58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59" spans="1:34" s="34" customFormat="1" ht="22.5">
      <c r="A59" s="61">
        <f t="shared" si="1"/>
        <v>21</v>
      </c>
      <c r="B59" s="39" t="s">
        <v>103</v>
      </c>
      <c r="C59" s="38">
        <v>1</v>
      </c>
      <c r="D59" s="37" t="s">
        <v>3</v>
      </c>
      <c r="E59" s="40" t="s">
        <v>81</v>
      </c>
      <c r="F59" s="55" t="s">
        <v>36</v>
      </c>
      <c r="G59" s="73" t="s">
        <v>37</v>
      </c>
      <c r="H59" s="79"/>
      <c r="I59" s="76">
        <v>1</v>
      </c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  <c r="AA59" s="68"/>
      <c r="AB59" s="68"/>
      <c r="AC59" s="68"/>
      <c r="AD59" s="68"/>
      <c r="AE59" s="68"/>
      <c r="AF59" s="68"/>
      <c r="AG59" s="68"/>
      <c r="AH59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60" spans="1:34" s="34" customFormat="1" ht="22.5">
      <c r="A60" s="61">
        <f t="shared" si="1"/>
        <v>22</v>
      </c>
      <c r="B60" s="39" t="s">
        <v>104</v>
      </c>
      <c r="C60" s="38">
        <v>3</v>
      </c>
      <c r="D60" s="37" t="s">
        <v>3</v>
      </c>
      <c r="E60" s="40" t="s">
        <v>81</v>
      </c>
      <c r="F60" s="55" t="s">
        <v>36</v>
      </c>
      <c r="G60" s="73" t="s">
        <v>37</v>
      </c>
      <c r="H60" s="79"/>
      <c r="I60" s="76">
        <v>3</v>
      </c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  <c r="AA60" s="68"/>
      <c r="AB60" s="68"/>
      <c r="AC60" s="68"/>
      <c r="AD60" s="68"/>
      <c r="AE60" s="68"/>
      <c r="AF60" s="68"/>
      <c r="AG60" s="68"/>
      <c r="AH60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61" spans="1:34" s="34" customFormat="1" ht="22.5">
      <c r="A61" s="61">
        <f t="shared" si="1"/>
        <v>23</v>
      </c>
      <c r="B61" s="39" t="s">
        <v>105</v>
      </c>
      <c r="C61" s="38">
        <v>3</v>
      </c>
      <c r="D61" s="37" t="s">
        <v>3</v>
      </c>
      <c r="E61" s="40" t="s">
        <v>81</v>
      </c>
      <c r="F61" s="55" t="s">
        <v>36</v>
      </c>
      <c r="G61" s="73" t="s">
        <v>37</v>
      </c>
      <c r="H61" s="79"/>
      <c r="I61" s="76">
        <v>3</v>
      </c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  <c r="AA61" s="68"/>
      <c r="AB61" s="68"/>
      <c r="AC61" s="68"/>
      <c r="AD61" s="68"/>
      <c r="AE61" s="68"/>
      <c r="AF61" s="68"/>
      <c r="AG61" s="68"/>
      <c r="AH61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62" spans="1:34" s="34" customFormat="1" ht="22.5">
      <c r="A62" s="61">
        <f t="shared" si="1"/>
        <v>24</v>
      </c>
      <c r="B62" s="39" t="s">
        <v>106</v>
      </c>
      <c r="C62" s="38">
        <v>3</v>
      </c>
      <c r="D62" s="37" t="s">
        <v>94</v>
      </c>
      <c r="E62" s="40" t="s">
        <v>81</v>
      </c>
      <c r="F62" s="55" t="s">
        <v>36</v>
      </c>
      <c r="G62" s="73" t="s">
        <v>37</v>
      </c>
      <c r="H62" s="79"/>
      <c r="I62" s="76">
        <v>3</v>
      </c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  <c r="AA62" s="68"/>
      <c r="AB62" s="68"/>
      <c r="AC62" s="68"/>
      <c r="AD62" s="68"/>
      <c r="AE62" s="68"/>
      <c r="AF62" s="68"/>
      <c r="AG62" s="68"/>
      <c r="AH62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63" spans="1:34" s="34" customFormat="1" ht="22.5">
      <c r="A63" s="61">
        <f t="shared" si="1"/>
        <v>25</v>
      </c>
      <c r="B63" s="39" t="s">
        <v>107</v>
      </c>
      <c r="C63" s="38">
        <v>2</v>
      </c>
      <c r="D63" s="37" t="s">
        <v>94</v>
      </c>
      <c r="E63" s="40" t="s">
        <v>81</v>
      </c>
      <c r="F63" s="55" t="s">
        <v>36</v>
      </c>
      <c r="G63" s="73" t="s">
        <v>37</v>
      </c>
      <c r="H63" s="79"/>
      <c r="I63" s="76">
        <v>2</v>
      </c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  <c r="AA63" s="68"/>
      <c r="AB63" s="68"/>
      <c r="AC63" s="68"/>
      <c r="AD63" s="68"/>
      <c r="AE63" s="68"/>
      <c r="AF63" s="68"/>
      <c r="AG63" s="68"/>
      <c r="AH63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64" spans="1:34" s="34" customFormat="1" ht="22.5">
      <c r="A64" s="61">
        <f t="shared" si="1"/>
        <v>26</v>
      </c>
      <c r="B64" s="39" t="s">
        <v>108</v>
      </c>
      <c r="C64" s="38">
        <v>1</v>
      </c>
      <c r="D64" s="37" t="s">
        <v>94</v>
      </c>
      <c r="E64" s="40" t="s">
        <v>81</v>
      </c>
      <c r="F64" s="55" t="s">
        <v>36</v>
      </c>
      <c r="G64" s="73" t="s">
        <v>37</v>
      </c>
      <c r="H64" s="79"/>
      <c r="I64" s="76">
        <v>1</v>
      </c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  <c r="AA64" s="68"/>
      <c r="AB64" s="68"/>
      <c r="AC64" s="68"/>
      <c r="AD64" s="68"/>
      <c r="AE64" s="68"/>
      <c r="AF64" s="68"/>
      <c r="AG64" s="68"/>
      <c r="AH64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65" spans="1:34" s="34" customFormat="1" ht="22.5">
      <c r="A65" s="61">
        <v>1</v>
      </c>
      <c r="B65" s="37" t="s">
        <v>109</v>
      </c>
      <c r="C65" s="38">
        <v>4</v>
      </c>
      <c r="D65" s="37" t="s">
        <v>3</v>
      </c>
      <c r="E65" s="35" t="s">
        <v>110</v>
      </c>
      <c r="F65" s="55" t="s">
        <v>36</v>
      </c>
      <c r="G65" s="73" t="s">
        <v>37</v>
      </c>
      <c r="H65" s="79"/>
      <c r="I65" s="75"/>
      <c r="J65" s="68">
        <v>4</v>
      </c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  <c r="AA65" s="68"/>
      <c r="AB65" s="68"/>
      <c r="AC65" s="68"/>
      <c r="AD65" s="68"/>
      <c r="AE65" s="68"/>
      <c r="AF65" s="68"/>
      <c r="AG65" s="68"/>
      <c r="AH65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66" spans="1:34" s="34" customFormat="1" ht="22.5">
      <c r="A66" s="61">
        <f t="shared" ref="A66:A83" si="2">A65+1</f>
        <v>2</v>
      </c>
      <c r="B66" s="35" t="s">
        <v>111</v>
      </c>
      <c r="C66" s="36">
        <v>1</v>
      </c>
      <c r="D66" s="35" t="s">
        <v>3</v>
      </c>
      <c r="E66" s="35" t="s">
        <v>110</v>
      </c>
      <c r="F66" s="55" t="s">
        <v>36</v>
      </c>
      <c r="G66" s="73" t="s">
        <v>37</v>
      </c>
      <c r="H66" s="79"/>
      <c r="I66" s="75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  <c r="AA66" s="68"/>
      <c r="AB66" s="68"/>
      <c r="AC66" s="68"/>
      <c r="AD66" s="68"/>
      <c r="AE66" s="68"/>
      <c r="AF66" s="68"/>
      <c r="AG66" s="68"/>
      <c r="AH66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1</v>
      </c>
    </row>
    <row r="67" spans="1:34" s="34" customFormat="1" ht="22.5">
      <c r="A67" s="61">
        <f t="shared" si="2"/>
        <v>3</v>
      </c>
      <c r="B67" s="35" t="s">
        <v>112</v>
      </c>
      <c r="C67" s="36">
        <v>8</v>
      </c>
      <c r="D67" s="35" t="s">
        <v>113</v>
      </c>
      <c r="E67" s="35" t="s">
        <v>110</v>
      </c>
      <c r="F67" s="55" t="s">
        <v>36</v>
      </c>
      <c r="G67" s="73" t="s">
        <v>37</v>
      </c>
      <c r="H67" s="79"/>
      <c r="I67" s="75"/>
      <c r="J67" s="68"/>
      <c r="K67" s="68">
        <v>2</v>
      </c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6</v>
      </c>
    </row>
    <row r="68" spans="1:34" s="34" customFormat="1" ht="47.25" customHeight="1">
      <c r="A68" s="61">
        <f t="shared" si="2"/>
        <v>4</v>
      </c>
      <c r="B68" s="35" t="s">
        <v>114</v>
      </c>
      <c r="C68" s="36">
        <v>175</v>
      </c>
      <c r="D68" s="35" t="s">
        <v>115</v>
      </c>
      <c r="E68" s="37" t="s">
        <v>110</v>
      </c>
      <c r="F68" s="55" t="s">
        <v>36</v>
      </c>
      <c r="G68" s="73" t="s">
        <v>37</v>
      </c>
      <c r="H68" s="79"/>
      <c r="I68" s="75"/>
      <c r="J68" s="68"/>
      <c r="K68" s="68">
        <v>25</v>
      </c>
      <c r="L68" s="68"/>
      <c r="M68" s="68">
        <v>25</v>
      </c>
      <c r="N68" s="68"/>
      <c r="O68" s="68">
        <v>35</v>
      </c>
      <c r="P68" s="68">
        <v>35</v>
      </c>
      <c r="Q68" s="68"/>
      <c r="R68" s="68">
        <v>30</v>
      </c>
      <c r="S68" s="68">
        <v>20</v>
      </c>
      <c r="T68" s="68">
        <v>5</v>
      </c>
      <c r="U68" s="68"/>
      <c r="V68" s="68"/>
      <c r="W68" s="68"/>
      <c r="X68" s="68"/>
      <c r="Y68" s="68"/>
      <c r="Z68" s="68"/>
      <c r="AA68" s="68"/>
      <c r="AB68" s="68"/>
      <c r="AC68" s="68"/>
      <c r="AD68" s="68"/>
      <c r="AE68" s="68"/>
      <c r="AF68" s="68"/>
      <c r="AG68" s="68"/>
      <c r="AH68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69" spans="1:34" s="34" customFormat="1" ht="22.5">
      <c r="A69" s="61">
        <f t="shared" si="2"/>
        <v>5</v>
      </c>
      <c r="B69" s="35" t="s">
        <v>116</v>
      </c>
      <c r="C69" s="36">
        <v>10</v>
      </c>
      <c r="D69" s="35" t="s">
        <v>115</v>
      </c>
      <c r="E69" s="35" t="s">
        <v>110</v>
      </c>
      <c r="F69" s="55" t="s">
        <v>36</v>
      </c>
      <c r="G69" s="73" t="s">
        <v>37</v>
      </c>
      <c r="H69" s="79"/>
      <c r="I69" s="75"/>
      <c r="J69" s="68"/>
      <c r="K69" s="68"/>
      <c r="L69" s="68">
        <v>2</v>
      </c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  <c r="AA69" s="68"/>
      <c r="AB69" s="68"/>
      <c r="AC69" s="68"/>
      <c r="AD69" s="68"/>
      <c r="AE69" s="68"/>
      <c r="AF69" s="68"/>
      <c r="AG69" s="68"/>
      <c r="AH69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8</v>
      </c>
    </row>
    <row r="70" spans="1:34" s="34" customFormat="1" ht="22.5">
      <c r="A70" s="61">
        <f t="shared" si="2"/>
        <v>6</v>
      </c>
      <c r="B70" s="35" t="s">
        <v>117</v>
      </c>
      <c r="C70" s="36">
        <v>2</v>
      </c>
      <c r="D70" s="35" t="s">
        <v>115</v>
      </c>
      <c r="E70" s="35" t="s">
        <v>110</v>
      </c>
      <c r="F70" s="55" t="s">
        <v>36</v>
      </c>
      <c r="G70" s="73" t="s">
        <v>37</v>
      </c>
      <c r="H70" s="79"/>
      <c r="I70" s="75">
        <v>2</v>
      </c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  <c r="AA70" s="68"/>
      <c r="AB70" s="68"/>
      <c r="AC70" s="68"/>
      <c r="AD70" s="68"/>
      <c r="AE70" s="68"/>
      <c r="AF70" s="68"/>
      <c r="AG70" s="68"/>
      <c r="AH70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71" spans="1:34" s="34" customFormat="1" ht="22.5">
      <c r="A71" s="61">
        <f t="shared" si="2"/>
        <v>7</v>
      </c>
      <c r="B71" s="35" t="s">
        <v>118</v>
      </c>
      <c r="C71" s="36">
        <v>50</v>
      </c>
      <c r="D71" s="35" t="s">
        <v>3</v>
      </c>
      <c r="E71" s="35" t="s">
        <v>110</v>
      </c>
      <c r="F71" s="55" t="s">
        <v>36</v>
      </c>
      <c r="G71" s="73" t="s">
        <v>37</v>
      </c>
      <c r="H71" s="79"/>
      <c r="I71" s="75"/>
      <c r="J71" s="68"/>
      <c r="K71" s="68"/>
      <c r="L71" s="68">
        <v>25</v>
      </c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  <c r="AA71" s="68"/>
      <c r="AB71" s="68"/>
      <c r="AC71" s="68"/>
      <c r="AD71" s="68"/>
      <c r="AE71" s="68"/>
      <c r="AF71" s="68"/>
      <c r="AG71" s="68"/>
      <c r="AH71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25</v>
      </c>
    </row>
    <row r="72" spans="1:34" s="34" customFormat="1" ht="22.5">
      <c r="A72" s="61">
        <f t="shared" si="2"/>
        <v>8</v>
      </c>
      <c r="B72" s="37" t="s">
        <v>119</v>
      </c>
      <c r="C72" s="36">
        <v>1</v>
      </c>
      <c r="D72" s="35" t="s">
        <v>3</v>
      </c>
      <c r="E72" s="35" t="s">
        <v>110</v>
      </c>
      <c r="F72" s="55" t="s">
        <v>36</v>
      </c>
      <c r="G72" s="73" t="s">
        <v>37</v>
      </c>
      <c r="H72" s="79"/>
      <c r="I72" s="75"/>
      <c r="J72" s="68">
        <v>1</v>
      </c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  <c r="AA72" s="68"/>
      <c r="AB72" s="68"/>
      <c r="AC72" s="68"/>
      <c r="AD72" s="68"/>
      <c r="AE72" s="68"/>
      <c r="AF72" s="68"/>
      <c r="AG72" s="68"/>
      <c r="AH72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73" spans="1:34" s="34" customFormat="1" ht="22.5">
      <c r="A73" s="61">
        <f t="shared" si="2"/>
        <v>9</v>
      </c>
      <c r="B73" s="37" t="s">
        <v>120</v>
      </c>
      <c r="C73" s="36">
        <v>60</v>
      </c>
      <c r="D73" s="35" t="s">
        <v>3</v>
      </c>
      <c r="E73" s="35" t="s">
        <v>110</v>
      </c>
      <c r="F73" s="55" t="s">
        <v>36</v>
      </c>
      <c r="G73" s="73" t="s">
        <v>37</v>
      </c>
      <c r="H73" s="79"/>
      <c r="I73" s="75"/>
      <c r="J73" s="68"/>
      <c r="K73" s="68">
        <v>4</v>
      </c>
      <c r="L73" s="68"/>
      <c r="M73" s="68">
        <v>6</v>
      </c>
      <c r="N73" s="68">
        <v>10</v>
      </c>
      <c r="O73" s="68"/>
      <c r="P73" s="68">
        <v>6</v>
      </c>
      <c r="Q73" s="68"/>
      <c r="R73" s="68">
        <v>10</v>
      </c>
      <c r="S73" s="68">
        <v>10</v>
      </c>
      <c r="T73" s="68">
        <v>10</v>
      </c>
      <c r="U73" s="68"/>
      <c r="V73" s="68"/>
      <c r="W73" s="68"/>
      <c r="X73" s="68"/>
      <c r="Y73" s="68"/>
      <c r="Z73" s="68"/>
      <c r="AA73" s="68"/>
      <c r="AB73" s="68"/>
      <c r="AC73" s="68"/>
      <c r="AD73" s="68"/>
      <c r="AE73" s="68"/>
      <c r="AF73" s="68"/>
      <c r="AG73" s="68"/>
      <c r="AH73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4</v>
      </c>
    </row>
    <row r="74" spans="1:34" s="34" customFormat="1" ht="22.5">
      <c r="A74" s="61">
        <f t="shared" si="2"/>
        <v>10</v>
      </c>
      <c r="B74" s="35" t="s">
        <v>121</v>
      </c>
      <c r="C74" s="36">
        <v>30</v>
      </c>
      <c r="D74" s="35" t="s">
        <v>3</v>
      </c>
      <c r="E74" s="35" t="s">
        <v>110</v>
      </c>
      <c r="F74" s="55" t="s">
        <v>36</v>
      </c>
      <c r="G74" s="73" t="s">
        <v>37</v>
      </c>
      <c r="H74" s="79"/>
      <c r="I74" s="75"/>
      <c r="J74" s="68"/>
      <c r="K74" s="68"/>
      <c r="L74" s="68">
        <v>30</v>
      </c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  <c r="AA74" s="68"/>
      <c r="AB74" s="68"/>
      <c r="AC74" s="68"/>
      <c r="AD74" s="68"/>
      <c r="AE74" s="68"/>
      <c r="AF74" s="68"/>
      <c r="AG74" s="68"/>
      <c r="AH74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75" spans="1:34" s="34" customFormat="1" ht="36" customHeight="1">
      <c r="A75" s="61">
        <f t="shared" si="2"/>
        <v>11</v>
      </c>
      <c r="B75" s="35" t="s">
        <v>122</v>
      </c>
      <c r="C75" s="36">
        <v>150</v>
      </c>
      <c r="D75" s="35" t="s">
        <v>115</v>
      </c>
      <c r="E75" s="35" t="s">
        <v>110</v>
      </c>
      <c r="F75" s="55" t="s">
        <v>36</v>
      </c>
      <c r="G75" s="73" t="s">
        <v>37</v>
      </c>
      <c r="H75" s="79"/>
      <c r="I75" s="75"/>
      <c r="J75" s="68"/>
      <c r="K75" s="68"/>
      <c r="L75" s="68">
        <v>40</v>
      </c>
      <c r="M75" s="68">
        <v>15</v>
      </c>
      <c r="N75" s="68"/>
      <c r="O75" s="68">
        <v>20</v>
      </c>
      <c r="P75" s="68"/>
      <c r="Q75" s="68"/>
      <c r="R75" s="68">
        <v>20</v>
      </c>
      <c r="S75" s="68">
        <v>20</v>
      </c>
      <c r="T75" s="68">
        <v>20</v>
      </c>
      <c r="U75" s="68"/>
      <c r="V75" s="68"/>
      <c r="W75" s="68"/>
      <c r="X75" s="68"/>
      <c r="Y75" s="68"/>
      <c r="Z75" s="68"/>
      <c r="AA75" s="68"/>
      <c r="AB75" s="68"/>
      <c r="AC75" s="68"/>
      <c r="AD75" s="68"/>
      <c r="AE75" s="68"/>
      <c r="AF75" s="68"/>
      <c r="AG75" s="68"/>
      <c r="AH75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15</v>
      </c>
    </row>
    <row r="76" spans="1:34" s="34" customFormat="1" ht="22.5">
      <c r="A76" s="61">
        <f t="shared" si="2"/>
        <v>12</v>
      </c>
      <c r="B76" s="35" t="s">
        <v>123</v>
      </c>
      <c r="C76" s="36">
        <v>14</v>
      </c>
      <c r="D76" s="35" t="s">
        <v>3</v>
      </c>
      <c r="E76" s="35" t="s">
        <v>110</v>
      </c>
      <c r="F76" s="55" t="s">
        <v>36</v>
      </c>
      <c r="G76" s="73" t="s">
        <v>37</v>
      </c>
      <c r="H76" s="79"/>
      <c r="I76" s="75"/>
      <c r="J76" s="68">
        <v>7</v>
      </c>
      <c r="K76" s="68"/>
      <c r="L76" s="68"/>
      <c r="M76" s="68"/>
      <c r="N76" s="68"/>
      <c r="O76" s="68"/>
      <c r="P76" s="68"/>
      <c r="Q76" s="68"/>
      <c r="R76" s="68">
        <v>4</v>
      </c>
      <c r="S76" s="68">
        <v>2</v>
      </c>
      <c r="T76" s="68"/>
      <c r="U76" s="68"/>
      <c r="V76" s="68"/>
      <c r="W76" s="68"/>
      <c r="X76" s="68"/>
      <c r="Y76" s="68"/>
      <c r="Z76" s="68"/>
      <c r="AA76" s="68"/>
      <c r="AB76" s="68"/>
      <c r="AC76" s="68"/>
      <c r="AD76" s="68"/>
      <c r="AE76" s="68"/>
      <c r="AF76" s="68"/>
      <c r="AG76" s="68"/>
      <c r="AH76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1</v>
      </c>
    </row>
    <row r="77" spans="1:34" s="34" customFormat="1" ht="22.5">
      <c r="A77" s="61">
        <f t="shared" si="2"/>
        <v>13</v>
      </c>
      <c r="B77" s="35" t="s">
        <v>124</v>
      </c>
      <c r="C77" s="36">
        <v>7</v>
      </c>
      <c r="D77" s="35" t="s">
        <v>41</v>
      </c>
      <c r="E77" s="35" t="s">
        <v>110</v>
      </c>
      <c r="F77" s="55" t="s">
        <v>36</v>
      </c>
      <c r="G77" s="73" t="s">
        <v>37</v>
      </c>
      <c r="H77" s="79"/>
      <c r="I77" s="75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  <c r="AA77" s="68"/>
      <c r="AB77" s="68"/>
      <c r="AC77" s="68"/>
      <c r="AD77" s="68"/>
      <c r="AE77" s="68"/>
      <c r="AF77" s="68"/>
      <c r="AG77" s="68"/>
      <c r="AH77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7</v>
      </c>
    </row>
    <row r="78" spans="1:34" s="34" customFormat="1" ht="22.5">
      <c r="A78" s="61">
        <f t="shared" si="2"/>
        <v>14</v>
      </c>
      <c r="B78" s="35" t="s">
        <v>125</v>
      </c>
      <c r="C78" s="36">
        <v>30</v>
      </c>
      <c r="D78" s="35" t="s">
        <v>3</v>
      </c>
      <c r="E78" s="35" t="s">
        <v>110</v>
      </c>
      <c r="F78" s="55" t="s">
        <v>36</v>
      </c>
      <c r="G78" s="73" t="s">
        <v>37</v>
      </c>
      <c r="H78" s="79"/>
      <c r="I78" s="75"/>
      <c r="J78" s="68">
        <v>15</v>
      </c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  <c r="AA78" s="68"/>
      <c r="AB78" s="68"/>
      <c r="AC78" s="68"/>
      <c r="AD78" s="68"/>
      <c r="AE78" s="68"/>
      <c r="AF78" s="68"/>
      <c r="AG78" s="68"/>
      <c r="AH78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15</v>
      </c>
    </row>
    <row r="79" spans="1:34" s="34" customFormat="1" ht="22.5">
      <c r="A79" s="61">
        <f t="shared" si="2"/>
        <v>15</v>
      </c>
      <c r="B79" s="35" t="s">
        <v>126</v>
      </c>
      <c r="C79" s="36">
        <v>15</v>
      </c>
      <c r="D79" s="35" t="s">
        <v>3</v>
      </c>
      <c r="E79" s="35" t="s">
        <v>110</v>
      </c>
      <c r="F79" s="55" t="s">
        <v>36</v>
      </c>
      <c r="G79" s="73" t="s">
        <v>37</v>
      </c>
      <c r="H79" s="79"/>
      <c r="I79" s="75"/>
      <c r="J79" s="68">
        <v>15</v>
      </c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  <c r="AA79" s="68"/>
      <c r="AB79" s="68"/>
      <c r="AC79" s="68"/>
      <c r="AD79" s="68"/>
      <c r="AE79" s="68"/>
      <c r="AF79" s="68"/>
      <c r="AG79" s="68"/>
      <c r="AH79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80" spans="1:34" s="34" customFormat="1" ht="22.5">
      <c r="A80" s="61">
        <f t="shared" si="2"/>
        <v>16</v>
      </c>
      <c r="B80" s="35" t="s">
        <v>127</v>
      </c>
      <c r="C80" s="36">
        <v>25</v>
      </c>
      <c r="D80" s="35" t="s">
        <v>3</v>
      </c>
      <c r="E80" s="35" t="s">
        <v>110</v>
      </c>
      <c r="F80" s="55" t="s">
        <v>36</v>
      </c>
      <c r="G80" s="73" t="s">
        <v>37</v>
      </c>
      <c r="H80" s="79"/>
      <c r="I80" s="75"/>
      <c r="J80" s="68"/>
      <c r="K80" s="68"/>
      <c r="L80" s="68">
        <v>25</v>
      </c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  <c r="AA80" s="68"/>
      <c r="AB80" s="68"/>
      <c r="AC80" s="68"/>
      <c r="AD80" s="68"/>
      <c r="AE80" s="68"/>
      <c r="AF80" s="68"/>
      <c r="AG80" s="68"/>
      <c r="AH80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81" spans="1:34" s="34" customFormat="1" ht="22.5">
      <c r="A81" s="61">
        <f t="shared" si="2"/>
        <v>17</v>
      </c>
      <c r="B81" s="35" t="s">
        <v>128</v>
      </c>
      <c r="C81" s="36">
        <v>7</v>
      </c>
      <c r="D81" s="35" t="s">
        <v>3</v>
      </c>
      <c r="E81" s="35" t="s">
        <v>110</v>
      </c>
      <c r="F81" s="55" t="s">
        <v>36</v>
      </c>
      <c r="G81" s="73" t="s">
        <v>37</v>
      </c>
      <c r="H81" s="79"/>
      <c r="I81" s="75">
        <v>7</v>
      </c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  <c r="AA81" s="68"/>
      <c r="AB81" s="68"/>
      <c r="AC81" s="68"/>
      <c r="AD81" s="68"/>
      <c r="AE81" s="68"/>
      <c r="AF81" s="68"/>
      <c r="AG81" s="68"/>
      <c r="AH81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82" spans="1:34" s="34" customFormat="1" ht="22.5">
      <c r="A82" s="61">
        <f t="shared" si="2"/>
        <v>18</v>
      </c>
      <c r="B82" s="35" t="s">
        <v>129</v>
      </c>
      <c r="C82" s="36">
        <v>1</v>
      </c>
      <c r="D82" s="35" t="s">
        <v>3</v>
      </c>
      <c r="E82" s="35" t="s">
        <v>110</v>
      </c>
      <c r="F82" s="55" t="s">
        <v>36</v>
      </c>
      <c r="G82" s="73" t="s">
        <v>37</v>
      </c>
      <c r="H82" s="79"/>
      <c r="I82" s="75">
        <v>1</v>
      </c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  <c r="AA82" s="68"/>
      <c r="AB82" s="68"/>
      <c r="AC82" s="68"/>
      <c r="AD82" s="68"/>
      <c r="AE82" s="68"/>
      <c r="AF82" s="68"/>
      <c r="AG82" s="68"/>
      <c r="AH82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83" spans="1:34" s="34" customFormat="1" ht="33.75">
      <c r="A83" s="61">
        <f t="shared" si="2"/>
        <v>19</v>
      </c>
      <c r="B83" s="35" t="s">
        <v>130</v>
      </c>
      <c r="C83" s="36">
        <v>3</v>
      </c>
      <c r="D83" s="35" t="s">
        <v>3</v>
      </c>
      <c r="E83" s="35" t="s">
        <v>110</v>
      </c>
      <c r="F83" s="55" t="s">
        <v>36</v>
      </c>
      <c r="G83" s="73" t="s">
        <v>37</v>
      </c>
      <c r="H83" s="79"/>
      <c r="I83" s="75">
        <v>3</v>
      </c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  <c r="AA83" s="68"/>
      <c r="AB83" s="68"/>
      <c r="AC83" s="68"/>
      <c r="AD83" s="68"/>
      <c r="AE83" s="68"/>
      <c r="AF83" s="68"/>
      <c r="AG83" s="68"/>
      <c r="AH83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84" spans="1:34" s="34" customFormat="1" ht="33.75" customHeight="1">
      <c r="A84" s="62">
        <f>1</f>
        <v>1</v>
      </c>
      <c r="B84" s="35" t="s">
        <v>131</v>
      </c>
      <c r="C84" s="36">
        <v>6</v>
      </c>
      <c r="D84" s="35" t="s">
        <v>3</v>
      </c>
      <c r="E84" s="35" t="s">
        <v>132</v>
      </c>
      <c r="F84" s="57" t="s">
        <v>133</v>
      </c>
      <c r="G84" s="73" t="s">
        <v>37</v>
      </c>
      <c r="H84" s="80" t="s">
        <v>134</v>
      </c>
      <c r="I84" s="76">
        <v>6</v>
      </c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  <c r="AA84" s="68"/>
      <c r="AB84" s="68"/>
      <c r="AC84" s="68"/>
      <c r="AD84" s="68"/>
      <c r="AE84" s="68"/>
      <c r="AF84" s="68"/>
      <c r="AG84" s="68"/>
      <c r="AH84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85" spans="1:34" s="34" customFormat="1" ht="22.5" customHeight="1">
      <c r="A85" s="62">
        <f t="shared" ref="A85:A92" si="3">A84+1</f>
        <v>2</v>
      </c>
      <c r="B85" s="35" t="s">
        <v>135</v>
      </c>
      <c r="C85" s="36">
        <v>1</v>
      </c>
      <c r="D85" s="35" t="s">
        <v>136</v>
      </c>
      <c r="E85" s="35" t="s">
        <v>132</v>
      </c>
      <c r="F85" s="57" t="s">
        <v>133</v>
      </c>
      <c r="G85" s="73" t="s">
        <v>66</v>
      </c>
      <c r="H85" s="80" t="s">
        <v>134</v>
      </c>
      <c r="I85" s="76">
        <v>1</v>
      </c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  <c r="AA85" s="68"/>
      <c r="AB85" s="68"/>
      <c r="AC85" s="68"/>
      <c r="AD85" s="68"/>
      <c r="AE85" s="68"/>
      <c r="AF85" s="68"/>
      <c r="AG85" s="68"/>
      <c r="AH85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86" spans="1:34" s="34" customFormat="1" ht="22.5">
      <c r="A86" s="62">
        <f t="shared" si="3"/>
        <v>3</v>
      </c>
      <c r="B86" s="35" t="s">
        <v>137</v>
      </c>
      <c r="C86" s="36">
        <v>3</v>
      </c>
      <c r="D86" s="35" t="s">
        <v>3</v>
      </c>
      <c r="E86" s="35" t="s">
        <v>132</v>
      </c>
      <c r="F86" s="57" t="s">
        <v>133</v>
      </c>
      <c r="G86" s="73" t="s">
        <v>37</v>
      </c>
      <c r="H86" s="80" t="s">
        <v>138</v>
      </c>
      <c r="I86" s="76">
        <v>3</v>
      </c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  <c r="AA86" s="68"/>
      <c r="AB86" s="68"/>
      <c r="AC86" s="68"/>
      <c r="AD86" s="68"/>
      <c r="AE86" s="68"/>
      <c r="AF86" s="68"/>
      <c r="AG86" s="68"/>
      <c r="AH86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87" spans="1:34" s="34" customFormat="1" ht="22.5">
      <c r="A87" s="62">
        <f t="shared" si="3"/>
        <v>4</v>
      </c>
      <c r="B87" s="37" t="s">
        <v>139</v>
      </c>
      <c r="C87" s="38">
        <v>3</v>
      </c>
      <c r="D87" s="35" t="s">
        <v>3</v>
      </c>
      <c r="E87" s="35" t="s">
        <v>132</v>
      </c>
      <c r="F87" s="57" t="s">
        <v>133</v>
      </c>
      <c r="G87" s="73" t="s">
        <v>37</v>
      </c>
      <c r="H87" s="80" t="s">
        <v>140</v>
      </c>
      <c r="I87" s="76">
        <v>3</v>
      </c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  <c r="AA87" s="68"/>
      <c r="AB87" s="68"/>
      <c r="AC87" s="68"/>
      <c r="AD87" s="68"/>
      <c r="AE87" s="68"/>
      <c r="AF87" s="68"/>
      <c r="AG87" s="68"/>
      <c r="AH87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88" spans="1:34" s="34" customFormat="1" ht="22.5" customHeight="1">
      <c r="A88" s="62">
        <f t="shared" si="3"/>
        <v>5</v>
      </c>
      <c r="B88" s="35" t="s">
        <v>141</v>
      </c>
      <c r="C88" s="36">
        <v>15</v>
      </c>
      <c r="D88" s="35" t="s">
        <v>3</v>
      </c>
      <c r="E88" s="35" t="s">
        <v>132</v>
      </c>
      <c r="F88" s="57" t="s">
        <v>133</v>
      </c>
      <c r="G88" s="73" t="s">
        <v>37</v>
      </c>
      <c r="H88" s="80" t="s">
        <v>142</v>
      </c>
      <c r="I88" s="76">
        <v>15</v>
      </c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  <c r="AA88" s="68"/>
      <c r="AB88" s="68"/>
      <c r="AC88" s="68"/>
      <c r="AD88" s="68"/>
      <c r="AE88" s="68"/>
      <c r="AF88" s="68"/>
      <c r="AG88" s="68"/>
      <c r="AH88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89" spans="1:34" s="34" customFormat="1" ht="22.5" customHeight="1">
      <c r="A89" s="62">
        <f t="shared" si="3"/>
        <v>6</v>
      </c>
      <c r="B89" s="35" t="s">
        <v>143</v>
      </c>
      <c r="C89" s="36">
        <v>15</v>
      </c>
      <c r="D89" s="35" t="s">
        <v>3</v>
      </c>
      <c r="E89" s="35" t="s">
        <v>132</v>
      </c>
      <c r="F89" s="57" t="s">
        <v>133</v>
      </c>
      <c r="G89" s="73" t="s">
        <v>37</v>
      </c>
      <c r="H89" s="80" t="s">
        <v>142</v>
      </c>
      <c r="I89" s="76">
        <v>15</v>
      </c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  <c r="AA89" s="68"/>
      <c r="AB89" s="68"/>
      <c r="AC89" s="68"/>
      <c r="AD89" s="68"/>
      <c r="AE89" s="68"/>
      <c r="AF89" s="68"/>
      <c r="AG89" s="68"/>
      <c r="AH89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90" spans="1:34" s="34" customFormat="1" ht="22.5" customHeight="1">
      <c r="A90" s="62">
        <f t="shared" si="3"/>
        <v>7</v>
      </c>
      <c r="B90" s="35" t="s">
        <v>144</v>
      </c>
      <c r="C90" s="36">
        <v>15</v>
      </c>
      <c r="D90" s="35" t="s">
        <v>3</v>
      </c>
      <c r="E90" s="35" t="s">
        <v>132</v>
      </c>
      <c r="F90" s="57" t="s">
        <v>133</v>
      </c>
      <c r="G90" s="73" t="s">
        <v>66</v>
      </c>
      <c r="H90" s="80" t="s">
        <v>142</v>
      </c>
      <c r="I90" s="76">
        <v>15</v>
      </c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  <c r="AA90" s="68"/>
      <c r="AB90" s="68"/>
      <c r="AC90" s="68"/>
      <c r="AD90" s="68"/>
      <c r="AE90" s="68"/>
      <c r="AF90" s="68"/>
      <c r="AG90" s="68"/>
      <c r="AH90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91" spans="1:34" s="34" customFormat="1" ht="22.5" customHeight="1">
      <c r="A91" s="62">
        <f t="shared" si="3"/>
        <v>8</v>
      </c>
      <c r="B91" s="35" t="s">
        <v>145</v>
      </c>
      <c r="C91" s="36">
        <v>15</v>
      </c>
      <c r="D91" s="35" t="s">
        <v>3</v>
      </c>
      <c r="E91" s="35" t="s">
        <v>132</v>
      </c>
      <c r="F91" s="57" t="s">
        <v>133</v>
      </c>
      <c r="G91" s="73" t="s">
        <v>66</v>
      </c>
      <c r="H91" s="80" t="s">
        <v>142</v>
      </c>
      <c r="I91" s="76">
        <v>15</v>
      </c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  <c r="AA91" s="68"/>
      <c r="AB91" s="68"/>
      <c r="AC91" s="68"/>
      <c r="AD91" s="68"/>
      <c r="AE91" s="68"/>
      <c r="AF91" s="68"/>
      <c r="AG91" s="68"/>
      <c r="AH91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92" spans="1:34" s="34" customFormat="1" ht="22.5">
      <c r="A92" s="62">
        <f t="shared" si="3"/>
        <v>9</v>
      </c>
      <c r="B92" s="35" t="s">
        <v>146</v>
      </c>
      <c r="C92" s="36">
        <v>15</v>
      </c>
      <c r="D92" s="35" t="s">
        <v>3</v>
      </c>
      <c r="E92" s="35" t="s">
        <v>132</v>
      </c>
      <c r="F92" s="57" t="s">
        <v>133</v>
      </c>
      <c r="G92" s="73" t="s">
        <v>66</v>
      </c>
      <c r="H92" s="80" t="s">
        <v>142</v>
      </c>
      <c r="I92" s="76">
        <v>15</v>
      </c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0</v>
      </c>
    </row>
    <row r="93" spans="1:34" s="34" customFormat="1" ht="33.75">
      <c r="A93" s="62">
        <f>1</f>
        <v>1</v>
      </c>
      <c r="B93" s="35" t="s">
        <v>49</v>
      </c>
      <c r="C93" s="36">
        <v>50</v>
      </c>
      <c r="D93" s="35" t="s">
        <v>3</v>
      </c>
      <c r="E93" s="35" t="s">
        <v>35</v>
      </c>
      <c r="F93" s="57" t="s">
        <v>133</v>
      </c>
      <c r="G93" s="73" t="s">
        <v>37</v>
      </c>
      <c r="H93" s="79"/>
      <c r="I93" s="75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  <c r="AA93" s="68"/>
      <c r="AB93" s="68"/>
      <c r="AC93" s="68"/>
      <c r="AD93" s="68"/>
      <c r="AE93" s="68"/>
      <c r="AF93" s="68"/>
      <c r="AG93" s="68"/>
      <c r="AH93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50</v>
      </c>
    </row>
    <row r="94" spans="1:34" s="34" customFormat="1" ht="33.75">
      <c r="A94" s="62">
        <f t="shared" ref="A94:A104" si="4">A93+1</f>
        <v>2</v>
      </c>
      <c r="B94" s="35" t="s">
        <v>51</v>
      </c>
      <c r="C94" s="36">
        <v>1</v>
      </c>
      <c r="D94" s="35" t="s">
        <v>52</v>
      </c>
      <c r="E94" s="35" t="s">
        <v>35</v>
      </c>
      <c r="F94" s="57" t="s">
        <v>133</v>
      </c>
      <c r="G94" s="73" t="s">
        <v>37</v>
      </c>
      <c r="H94" s="79"/>
      <c r="I94" s="75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  <c r="AA94" s="68"/>
      <c r="AB94" s="68"/>
      <c r="AC94" s="68"/>
      <c r="AD94" s="68"/>
      <c r="AE94" s="68"/>
      <c r="AF94" s="68"/>
      <c r="AG94" s="68"/>
      <c r="AH94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1</v>
      </c>
    </row>
    <row r="95" spans="1:34" s="34" customFormat="1" ht="33.75">
      <c r="A95" s="62">
        <f t="shared" si="4"/>
        <v>3</v>
      </c>
      <c r="B95" s="35" t="s">
        <v>53</v>
      </c>
      <c r="C95" s="36">
        <v>1</v>
      </c>
      <c r="D95" s="35" t="s">
        <v>3</v>
      </c>
      <c r="E95" s="35" t="s">
        <v>35</v>
      </c>
      <c r="F95" s="57" t="s">
        <v>133</v>
      </c>
      <c r="G95" s="73" t="s">
        <v>37</v>
      </c>
      <c r="H95" s="79"/>
      <c r="I95" s="75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  <c r="AA95" s="68"/>
      <c r="AB95" s="68"/>
      <c r="AC95" s="68"/>
      <c r="AD95" s="68"/>
      <c r="AE95" s="68"/>
      <c r="AF95" s="68"/>
      <c r="AG95" s="68"/>
      <c r="AH95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1</v>
      </c>
    </row>
    <row r="96" spans="1:34" s="34" customFormat="1" ht="33.75">
      <c r="A96" s="62">
        <f t="shared" si="4"/>
        <v>4</v>
      </c>
      <c r="B96" s="35" t="s">
        <v>57</v>
      </c>
      <c r="C96" s="36">
        <v>2</v>
      </c>
      <c r="D96" s="35" t="s">
        <v>3</v>
      </c>
      <c r="E96" s="35" t="s">
        <v>35</v>
      </c>
      <c r="F96" s="57" t="s">
        <v>133</v>
      </c>
      <c r="G96" s="73" t="s">
        <v>37</v>
      </c>
      <c r="H96" s="79"/>
      <c r="I96" s="75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  <c r="AA96" s="68"/>
      <c r="AB96" s="68"/>
      <c r="AC96" s="68"/>
      <c r="AD96" s="68"/>
      <c r="AE96" s="68"/>
      <c r="AF96" s="68"/>
      <c r="AG96" s="68"/>
      <c r="AH96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2</v>
      </c>
    </row>
    <row r="97" spans="1:34" s="34" customFormat="1" ht="33.75">
      <c r="A97" s="62">
        <f t="shared" si="4"/>
        <v>5</v>
      </c>
      <c r="B97" s="35" t="s">
        <v>60</v>
      </c>
      <c r="C97" s="36">
        <v>5</v>
      </c>
      <c r="D97" s="35" t="s">
        <v>3</v>
      </c>
      <c r="E97" s="35" t="s">
        <v>35</v>
      </c>
      <c r="F97" s="57" t="s">
        <v>133</v>
      </c>
      <c r="G97" s="73" t="s">
        <v>37</v>
      </c>
      <c r="H97" s="79"/>
      <c r="I97" s="75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  <c r="AA97" s="68"/>
      <c r="AB97" s="68"/>
      <c r="AC97" s="68"/>
      <c r="AD97" s="68"/>
      <c r="AE97" s="68"/>
      <c r="AF97" s="68"/>
      <c r="AG97" s="68"/>
      <c r="AH97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5</v>
      </c>
    </row>
    <row r="98" spans="1:34" s="34" customFormat="1" ht="33.75">
      <c r="A98" s="62">
        <f t="shared" si="4"/>
        <v>6</v>
      </c>
      <c r="B98" s="37" t="s">
        <v>61</v>
      </c>
      <c r="C98" s="38">
        <v>5</v>
      </c>
      <c r="D98" s="37" t="s">
        <v>3</v>
      </c>
      <c r="E98" s="35" t="s">
        <v>35</v>
      </c>
      <c r="F98" s="57" t="s">
        <v>133</v>
      </c>
      <c r="G98" s="73" t="s">
        <v>37</v>
      </c>
      <c r="H98" s="79"/>
      <c r="I98" s="75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  <c r="AA98" s="68"/>
      <c r="AB98" s="68"/>
      <c r="AC98" s="68"/>
      <c r="AD98" s="68"/>
      <c r="AE98" s="68"/>
      <c r="AF98" s="68"/>
      <c r="AG98" s="68"/>
      <c r="AH98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5</v>
      </c>
    </row>
    <row r="99" spans="1:34" s="34" customFormat="1" ht="33.75">
      <c r="A99" s="62">
        <f t="shared" si="4"/>
        <v>7</v>
      </c>
      <c r="B99" s="35" t="s">
        <v>70</v>
      </c>
      <c r="C99" s="36">
        <v>2</v>
      </c>
      <c r="D99" s="35" t="s">
        <v>3</v>
      </c>
      <c r="E99" s="35" t="s">
        <v>35</v>
      </c>
      <c r="F99" s="57" t="s">
        <v>133</v>
      </c>
      <c r="G99" s="73" t="s">
        <v>37</v>
      </c>
      <c r="H99" s="79"/>
      <c r="I99" s="75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  <c r="AA99" s="68"/>
      <c r="AB99" s="68"/>
      <c r="AC99" s="68"/>
      <c r="AD99" s="68"/>
      <c r="AE99" s="68"/>
      <c r="AF99" s="68"/>
      <c r="AG99" s="68"/>
      <c r="AH99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2</v>
      </c>
    </row>
    <row r="100" spans="1:34" s="34" customFormat="1" ht="33.75">
      <c r="A100" s="62">
        <f t="shared" si="4"/>
        <v>8</v>
      </c>
      <c r="B100" s="35" t="s">
        <v>71</v>
      </c>
      <c r="C100" s="36">
        <v>15</v>
      </c>
      <c r="D100" s="35" t="s">
        <v>3</v>
      </c>
      <c r="E100" s="35" t="s">
        <v>35</v>
      </c>
      <c r="F100" s="57" t="s">
        <v>133</v>
      </c>
      <c r="G100" s="73" t="s">
        <v>37</v>
      </c>
      <c r="H100" s="79"/>
      <c r="I100" s="75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  <c r="AA100" s="68"/>
      <c r="AB100" s="68"/>
      <c r="AC100" s="68"/>
      <c r="AD100" s="68"/>
      <c r="AE100" s="68"/>
      <c r="AF100" s="68"/>
      <c r="AG100" s="68"/>
      <c r="AH100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15</v>
      </c>
    </row>
    <row r="101" spans="1:34" s="34" customFormat="1" ht="33.75">
      <c r="A101" s="62">
        <f t="shared" si="4"/>
        <v>9</v>
      </c>
      <c r="B101" s="35" t="s">
        <v>71</v>
      </c>
      <c r="C101" s="36">
        <v>15</v>
      </c>
      <c r="D101" s="35" t="s">
        <v>3</v>
      </c>
      <c r="E101" s="35" t="s">
        <v>35</v>
      </c>
      <c r="F101" s="57" t="s">
        <v>133</v>
      </c>
      <c r="G101" s="73" t="s">
        <v>37</v>
      </c>
      <c r="H101" s="79"/>
      <c r="I101" s="75"/>
      <c r="J101" s="68"/>
      <c r="K101" s="68"/>
      <c r="L101" s="68"/>
      <c r="M101" s="68"/>
      <c r="N101" s="68"/>
      <c r="O101" s="68"/>
      <c r="P101" s="68"/>
      <c r="Q101" s="68"/>
      <c r="R101" s="68"/>
      <c r="S101" s="68"/>
      <c r="T101" s="68"/>
      <c r="U101" s="68"/>
      <c r="V101" s="68"/>
      <c r="W101" s="68"/>
      <c r="X101" s="68"/>
      <c r="Y101" s="68"/>
      <c r="Z101" s="68"/>
      <c r="AA101" s="68"/>
      <c r="AB101" s="68"/>
      <c r="AC101" s="68"/>
      <c r="AD101" s="68"/>
      <c r="AE101" s="68"/>
      <c r="AF101" s="68"/>
      <c r="AG101" s="68"/>
      <c r="AH101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15</v>
      </c>
    </row>
    <row r="102" spans="1:34" s="34" customFormat="1" ht="33.75">
      <c r="A102" s="62">
        <f t="shared" si="4"/>
        <v>10</v>
      </c>
      <c r="B102" s="35" t="s">
        <v>147</v>
      </c>
      <c r="C102" s="36">
        <v>1</v>
      </c>
      <c r="D102" s="35" t="s">
        <v>3</v>
      </c>
      <c r="E102" s="35" t="s">
        <v>35</v>
      </c>
      <c r="F102" s="57" t="s">
        <v>133</v>
      </c>
      <c r="G102" s="73" t="s">
        <v>37</v>
      </c>
      <c r="H102" s="79"/>
      <c r="I102" s="75"/>
      <c r="J102" s="68"/>
      <c r="K102" s="68"/>
      <c r="L102" s="68"/>
      <c r="M102" s="68"/>
      <c r="N102" s="68"/>
      <c r="O102" s="68"/>
      <c r="P102" s="68"/>
      <c r="Q102" s="68"/>
      <c r="R102" s="68"/>
      <c r="S102" s="68"/>
      <c r="T102" s="68"/>
      <c r="U102" s="68"/>
      <c r="V102" s="68"/>
      <c r="W102" s="68"/>
      <c r="X102" s="68"/>
      <c r="Y102" s="68"/>
      <c r="Z102" s="68"/>
      <c r="AA102" s="68"/>
      <c r="AB102" s="68"/>
      <c r="AC102" s="68"/>
      <c r="AD102" s="68"/>
      <c r="AE102" s="68"/>
      <c r="AF102" s="68"/>
      <c r="AG102" s="68"/>
      <c r="AH102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1</v>
      </c>
    </row>
    <row r="103" spans="1:34" s="34" customFormat="1" ht="33.75">
      <c r="A103" s="62">
        <f t="shared" si="4"/>
        <v>11</v>
      </c>
      <c r="B103" s="35" t="s">
        <v>148</v>
      </c>
      <c r="C103" s="36">
        <v>20</v>
      </c>
      <c r="D103" s="35" t="s">
        <v>3</v>
      </c>
      <c r="E103" s="35" t="s">
        <v>35</v>
      </c>
      <c r="F103" s="57" t="s">
        <v>133</v>
      </c>
      <c r="G103" s="73" t="s">
        <v>37</v>
      </c>
      <c r="H103" s="79"/>
      <c r="I103" s="75"/>
      <c r="J103" s="68"/>
      <c r="K103" s="68"/>
      <c r="L103" s="68"/>
      <c r="M103" s="68"/>
      <c r="N103" s="68"/>
      <c r="O103" s="68"/>
      <c r="P103" s="68"/>
      <c r="Q103" s="68"/>
      <c r="R103" s="68"/>
      <c r="S103" s="68"/>
      <c r="T103" s="68"/>
      <c r="U103" s="68"/>
      <c r="V103" s="68"/>
      <c r="W103" s="68"/>
      <c r="X103" s="68"/>
      <c r="Y103" s="68"/>
      <c r="Z103" s="68"/>
      <c r="AA103" s="68"/>
      <c r="AB103" s="68"/>
      <c r="AC103" s="68"/>
      <c r="AD103" s="68"/>
      <c r="AE103" s="68"/>
      <c r="AF103" s="68"/>
      <c r="AG103" s="68"/>
      <c r="AH103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20</v>
      </c>
    </row>
    <row r="104" spans="1:34" s="34" customFormat="1" ht="33.75">
      <c r="A104" s="62">
        <f t="shared" si="4"/>
        <v>12</v>
      </c>
      <c r="B104" s="35" t="s">
        <v>135</v>
      </c>
      <c r="C104" s="36">
        <v>1</v>
      </c>
      <c r="D104" s="35" t="s">
        <v>136</v>
      </c>
      <c r="E104" s="35" t="s">
        <v>35</v>
      </c>
      <c r="F104" s="57" t="s">
        <v>133</v>
      </c>
      <c r="G104" s="73" t="s">
        <v>66</v>
      </c>
      <c r="H104" s="79"/>
      <c r="I104" s="75"/>
      <c r="J104" s="68"/>
      <c r="K104" s="68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  <c r="AA104" s="68"/>
      <c r="AB104" s="68"/>
      <c r="AC104" s="68"/>
      <c r="AD104" s="68"/>
      <c r="AE104" s="68"/>
      <c r="AF104" s="68"/>
      <c r="AG104" s="68"/>
      <c r="AH104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1</v>
      </c>
    </row>
    <row r="105" spans="1:34" s="34" customFormat="1" ht="33.75">
      <c r="A105" s="62">
        <f>1</f>
        <v>1</v>
      </c>
      <c r="B105" s="35" t="s">
        <v>49</v>
      </c>
      <c r="C105" s="36">
        <v>30</v>
      </c>
      <c r="D105" s="35" t="s">
        <v>3</v>
      </c>
      <c r="E105" s="35" t="s">
        <v>35</v>
      </c>
      <c r="F105" s="56" t="s">
        <v>149</v>
      </c>
      <c r="G105" s="73" t="s">
        <v>37</v>
      </c>
      <c r="H105" s="79"/>
      <c r="I105" s="75"/>
      <c r="J105" s="68"/>
      <c r="K105" s="68"/>
      <c r="L105" s="68"/>
      <c r="M105" s="68">
        <v>20</v>
      </c>
      <c r="N105" s="68"/>
      <c r="O105" s="68"/>
      <c r="P105" s="68"/>
      <c r="Q105" s="68"/>
      <c r="R105" s="68"/>
      <c r="S105" s="68"/>
      <c r="T105" s="68"/>
      <c r="U105" s="68"/>
      <c r="V105" s="68"/>
      <c r="W105" s="68"/>
      <c r="X105" s="68"/>
      <c r="Y105" s="68"/>
      <c r="Z105" s="68"/>
      <c r="AA105" s="68"/>
      <c r="AB105" s="68"/>
      <c r="AC105" s="68"/>
      <c r="AD105" s="68"/>
      <c r="AE105" s="68"/>
      <c r="AF105" s="68"/>
      <c r="AG105" s="68"/>
      <c r="AH105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10</v>
      </c>
    </row>
    <row r="106" spans="1:34" s="34" customFormat="1" ht="33.75">
      <c r="A106" s="62">
        <f t="shared" ref="A106:A111" si="5">A105+1</f>
        <v>2</v>
      </c>
      <c r="B106" s="35" t="s">
        <v>53</v>
      </c>
      <c r="C106" s="36">
        <v>1</v>
      </c>
      <c r="D106" s="35" t="s">
        <v>3</v>
      </c>
      <c r="E106" s="35" t="s">
        <v>35</v>
      </c>
      <c r="F106" s="56" t="s">
        <v>149</v>
      </c>
      <c r="G106" s="73" t="s">
        <v>37</v>
      </c>
      <c r="H106" s="79"/>
      <c r="I106" s="75"/>
      <c r="J106" s="68"/>
      <c r="K106" s="68"/>
      <c r="L106" s="68"/>
      <c r="M106" s="68"/>
      <c r="N106" s="68"/>
      <c r="O106" s="68"/>
      <c r="P106" s="68"/>
      <c r="Q106" s="68"/>
      <c r="R106" s="68"/>
      <c r="S106" s="68"/>
      <c r="T106" s="68"/>
      <c r="U106" s="68"/>
      <c r="V106" s="68"/>
      <c r="W106" s="68"/>
      <c r="X106" s="68"/>
      <c r="Y106" s="68"/>
      <c r="Z106" s="68"/>
      <c r="AA106" s="68"/>
      <c r="AB106" s="68"/>
      <c r="AC106" s="68"/>
      <c r="AD106" s="68"/>
      <c r="AE106" s="68"/>
      <c r="AF106" s="68"/>
      <c r="AG106" s="68"/>
      <c r="AH106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1</v>
      </c>
    </row>
    <row r="107" spans="1:34" s="34" customFormat="1" ht="33.75">
      <c r="A107" s="62">
        <f t="shared" si="5"/>
        <v>3</v>
      </c>
      <c r="B107" s="35" t="s">
        <v>57</v>
      </c>
      <c r="C107" s="36">
        <v>2</v>
      </c>
      <c r="D107" s="35" t="s">
        <v>3</v>
      </c>
      <c r="E107" s="35" t="s">
        <v>35</v>
      </c>
      <c r="F107" s="56" t="s">
        <v>149</v>
      </c>
      <c r="G107" s="73" t="s">
        <v>37</v>
      </c>
      <c r="H107" s="79"/>
      <c r="I107" s="75"/>
      <c r="J107" s="68"/>
      <c r="K107" s="68"/>
      <c r="L107" s="68"/>
      <c r="M107" s="68"/>
      <c r="N107" s="68"/>
      <c r="O107" s="68"/>
      <c r="P107" s="68"/>
      <c r="Q107" s="68"/>
      <c r="R107" s="68"/>
      <c r="S107" s="68"/>
      <c r="T107" s="68"/>
      <c r="U107" s="68"/>
      <c r="V107" s="68"/>
      <c r="W107" s="68"/>
      <c r="X107" s="68"/>
      <c r="Y107" s="68"/>
      <c r="Z107" s="68"/>
      <c r="AA107" s="68"/>
      <c r="AB107" s="68"/>
      <c r="AC107" s="68"/>
      <c r="AD107" s="68"/>
      <c r="AE107" s="68"/>
      <c r="AF107" s="68"/>
      <c r="AG107" s="68"/>
      <c r="AH107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2</v>
      </c>
    </row>
    <row r="108" spans="1:34" s="34" customFormat="1" ht="33.75">
      <c r="A108" s="62">
        <f t="shared" si="5"/>
        <v>4</v>
      </c>
      <c r="B108" s="35" t="s">
        <v>60</v>
      </c>
      <c r="C108" s="36">
        <v>5</v>
      </c>
      <c r="D108" s="35" t="s">
        <v>3</v>
      </c>
      <c r="E108" s="35" t="s">
        <v>35</v>
      </c>
      <c r="F108" s="56" t="s">
        <v>149</v>
      </c>
      <c r="G108" s="73" t="s">
        <v>37</v>
      </c>
      <c r="H108" s="79"/>
      <c r="I108" s="75"/>
      <c r="J108" s="68"/>
      <c r="K108" s="68"/>
      <c r="L108" s="68"/>
      <c r="M108" s="68"/>
      <c r="N108" s="68"/>
      <c r="O108" s="68"/>
      <c r="P108" s="68"/>
      <c r="Q108" s="68"/>
      <c r="R108" s="68"/>
      <c r="S108" s="68"/>
      <c r="T108" s="68"/>
      <c r="U108" s="68"/>
      <c r="V108" s="68"/>
      <c r="W108" s="68"/>
      <c r="X108" s="68"/>
      <c r="Y108" s="68"/>
      <c r="Z108" s="68"/>
      <c r="AA108" s="68"/>
      <c r="AB108" s="68"/>
      <c r="AC108" s="68"/>
      <c r="AD108" s="68"/>
      <c r="AE108" s="68"/>
      <c r="AF108" s="68"/>
      <c r="AG108" s="68"/>
      <c r="AH108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5</v>
      </c>
    </row>
    <row r="109" spans="1:34" s="34" customFormat="1" ht="33.75">
      <c r="A109" s="62">
        <f t="shared" si="5"/>
        <v>5</v>
      </c>
      <c r="B109" s="37" t="s">
        <v>61</v>
      </c>
      <c r="C109" s="38">
        <v>5</v>
      </c>
      <c r="D109" s="37" t="s">
        <v>3</v>
      </c>
      <c r="E109" s="35" t="s">
        <v>35</v>
      </c>
      <c r="F109" s="56" t="s">
        <v>149</v>
      </c>
      <c r="G109" s="73" t="s">
        <v>37</v>
      </c>
      <c r="H109" s="79"/>
      <c r="I109" s="75"/>
      <c r="J109" s="68"/>
      <c r="K109" s="68"/>
      <c r="L109" s="68"/>
      <c r="M109" s="68"/>
      <c r="N109" s="68"/>
      <c r="O109" s="68"/>
      <c r="P109" s="68"/>
      <c r="Q109" s="68"/>
      <c r="R109" s="68"/>
      <c r="S109" s="68"/>
      <c r="T109" s="68"/>
      <c r="U109" s="68"/>
      <c r="V109" s="68"/>
      <c r="W109" s="68"/>
      <c r="X109" s="68"/>
      <c r="Y109" s="68"/>
      <c r="Z109" s="68"/>
      <c r="AA109" s="68"/>
      <c r="AB109" s="68"/>
      <c r="AC109" s="68"/>
      <c r="AD109" s="68"/>
      <c r="AE109" s="68"/>
      <c r="AF109" s="68"/>
      <c r="AG109" s="68"/>
      <c r="AH109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5</v>
      </c>
    </row>
    <row r="110" spans="1:34" s="34" customFormat="1" ht="33.75">
      <c r="A110" s="62">
        <f t="shared" si="5"/>
        <v>6</v>
      </c>
      <c r="B110" s="35" t="s">
        <v>70</v>
      </c>
      <c r="C110" s="36">
        <v>2</v>
      </c>
      <c r="D110" s="35" t="s">
        <v>3</v>
      </c>
      <c r="E110" s="35" t="s">
        <v>35</v>
      </c>
      <c r="F110" s="56" t="s">
        <v>149</v>
      </c>
      <c r="G110" s="73" t="s">
        <v>37</v>
      </c>
      <c r="H110" s="79"/>
      <c r="I110" s="75"/>
      <c r="J110" s="68"/>
      <c r="K110" s="68"/>
      <c r="L110" s="68"/>
      <c r="M110" s="68"/>
      <c r="N110" s="68"/>
      <c r="O110" s="68"/>
      <c r="P110" s="68"/>
      <c r="Q110" s="68"/>
      <c r="R110" s="68"/>
      <c r="S110" s="68"/>
      <c r="T110" s="68"/>
      <c r="U110" s="68"/>
      <c r="V110" s="68"/>
      <c r="W110" s="68"/>
      <c r="X110" s="68"/>
      <c r="Y110" s="68"/>
      <c r="Z110" s="68"/>
      <c r="AA110" s="68"/>
      <c r="AB110" s="68"/>
      <c r="AC110" s="68"/>
      <c r="AD110" s="68"/>
      <c r="AE110" s="68"/>
      <c r="AF110" s="68"/>
      <c r="AG110" s="68"/>
      <c r="AH110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2</v>
      </c>
    </row>
    <row r="111" spans="1:34" s="34" customFormat="1" ht="34.5" thickBot="1">
      <c r="A111" s="63">
        <f t="shared" si="5"/>
        <v>7</v>
      </c>
      <c r="B111" s="64" t="s">
        <v>71</v>
      </c>
      <c r="C111" s="65">
        <v>15</v>
      </c>
      <c r="D111" s="64" t="s">
        <v>3</v>
      </c>
      <c r="E111" s="64" t="s">
        <v>35</v>
      </c>
      <c r="F111" s="66" t="s">
        <v>149</v>
      </c>
      <c r="G111" s="74" t="s">
        <v>37</v>
      </c>
      <c r="H111" s="81"/>
      <c r="I111" s="75"/>
      <c r="J111" s="68"/>
      <c r="K111" s="68"/>
      <c r="L111" s="68"/>
      <c r="M111" s="68"/>
      <c r="N111" s="68"/>
      <c r="O111" s="68"/>
      <c r="P111" s="68"/>
      <c r="Q111" s="68"/>
      <c r="R111" s="68"/>
      <c r="S111" s="68"/>
      <c r="T111" s="68"/>
      <c r="U111" s="68"/>
      <c r="V111" s="68"/>
      <c r="W111" s="68"/>
      <c r="X111" s="68"/>
      <c r="Y111" s="68"/>
      <c r="Z111" s="68"/>
      <c r="AA111" s="68"/>
      <c r="AB111" s="68"/>
      <c r="AC111" s="68"/>
      <c r="AD111" s="68"/>
      <c r="AE111" s="68"/>
      <c r="AF111" s="68"/>
      <c r="AG111" s="68"/>
      <c r="AH111" s="68">
        <f>Tabla1[[#This Row],[Cantidad]]-Tabla1[[#This Row],[SAL 0]]-Tabla1[[#This Row],[SAL 1]]-Tabla1[[#This Row],[SAL2]]-Tabla1[[#This Row],[SAL3]]-Tabla1[[#This Row],[SAL 4]]-Tabla1[[#This Row],[SAL 5]]-Tabla1[[#This Row],[SAL 6]]-Tabla1[[#This Row],[SAL 7]]-Tabla1[[#This Row],[SAL 20]]-Tabla1[[#This Row],[SAL 21]]-Tabla1[[#This Row],[SAL 22]]-Tabla1[[#This Row],[SAL 17]]-Tabla1[[#This Row],[SAL 18]]-Tabla1[[#This Row],[SAL 19]]-Tabla1[[#This Row],[SAL 23]]-Tabla1[[#This Row],[SAL 24]]-Tabla1[[#This Row],[SAL 8]]-Tabla1[[#This Row],[SAL 9]]-Tabla1[[#This Row],[SAL 11]]-Tabla1[[#This Row],[SAL 10]]-Tabla1[[#This Row],[SAL 12]]</f>
        <v>15</v>
      </c>
    </row>
    <row r="116" spans="1:4" s="45" customFormat="1" ht="30">
      <c r="A116" s="42"/>
      <c r="B116" s="43" t="s">
        <v>150</v>
      </c>
      <c r="C116" s="43" t="s">
        <v>151</v>
      </c>
      <c r="D116" s="44" t="s">
        <v>152</v>
      </c>
    </row>
    <row r="117" spans="1:4">
      <c r="A117" s="46" t="s">
        <v>36</v>
      </c>
      <c r="B117" s="32">
        <f>COUNTIFS(Tabla1[LLEGADA DEL ITEM],"SI",Tabla1[CARRERA],"LGS")</f>
        <v>80</v>
      </c>
      <c r="C117" s="47">
        <v>82</v>
      </c>
      <c r="D117" s="48">
        <f>B117/C117</f>
        <v>0.97560975609756095</v>
      </c>
    </row>
    <row r="118" spans="1:4">
      <c r="A118" s="46" t="s">
        <v>133</v>
      </c>
      <c r="B118" s="32">
        <f>COUNTIFS(Tabla1[LLEGADA DEL ITEM],"SI",Tabla1[CARRERA],"LND")</f>
        <v>16</v>
      </c>
      <c r="C118" s="47">
        <v>21</v>
      </c>
      <c r="D118" s="48">
        <f t="shared" ref="D118:D119" si="6">B118/C118</f>
        <v>0.76190476190476186</v>
      </c>
    </row>
    <row r="119" spans="1:4" ht="15.75" thickBot="1">
      <c r="A119" s="49" t="s">
        <v>149</v>
      </c>
      <c r="B119" s="50">
        <f>COUNTIFS(Tabla1[LLEGADA DEL ITEM],"SI",Tabla1[CARRERA],"LTH")</f>
        <v>7</v>
      </c>
      <c r="C119" s="51">
        <v>7</v>
      </c>
      <c r="D119" s="52">
        <f t="shared" si="6"/>
        <v>1</v>
      </c>
    </row>
  </sheetData>
  <phoneticPr fontId="23" type="noConversion"/>
  <conditionalFormatting sqref="G2:G111">
    <cfRule type="cellIs" dxfId="37" priority="2" operator="equal">
      <formula>"NO"</formula>
    </cfRule>
  </conditionalFormatting>
  <conditionalFormatting sqref="AH2:AH111">
    <cfRule type="cellIs" dxfId="36" priority="1" operator="greater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6CB73-F19D-4983-ABD1-38FF64221C45}">
  <sheetPr>
    <tabColor theme="9" tint="-0.499984740745262"/>
    <pageSetUpPr fitToPage="1"/>
  </sheetPr>
  <dimension ref="A1:U37"/>
  <sheetViews>
    <sheetView view="pageBreakPreview" topLeftCell="A6" zoomScale="90" zoomScaleNormal="100" zoomScaleSheetLayoutView="90" workbookViewId="0">
      <selection activeCell="M21" sqref="M21:Q21"/>
    </sheetView>
  </sheetViews>
  <sheetFormatPr defaultColWidth="10.7109375" defaultRowHeight="15"/>
  <cols>
    <col min="1" max="1" width="2" customWidth="1"/>
    <col min="2" max="2" width="6.28515625" customWidth="1"/>
    <col min="3" max="3" width="5.7109375" customWidth="1"/>
    <col min="4" max="4" width="11.85546875" customWidth="1"/>
    <col min="5" max="5" width="3.5703125" customWidth="1"/>
    <col min="6" max="6" width="2.85546875" customWidth="1"/>
    <col min="7" max="7" width="3.28515625" customWidth="1"/>
    <col min="8" max="8" width="25.7109375" customWidth="1"/>
    <col min="9" max="9" width="5.85546875" style="20" customWidth="1"/>
    <col min="10" max="10" width="4.85546875" style="20" customWidth="1"/>
    <col min="11" max="11" width="2.5703125" style="20" customWidth="1"/>
    <col min="12" max="12" width="14" style="19" customWidth="1"/>
    <col min="13" max="13" width="1.85546875" customWidth="1"/>
    <col min="14" max="14" width="2.28515625" customWidth="1"/>
    <col min="15" max="15" width="1.85546875" customWidth="1"/>
    <col min="16" max="16" width="2.7109375" customWidth="1"/>
    <col min="17" max="18" width="3.85546875" customWidth="1"/>
    <col min="19" max="19" width="4" customWidth="1"/>
    <col min="20" max="20" width="3.28515625" customWidth="1"/>
    <col min="21" max="21" width="1.7109375" customWidth="1"/>
  </cols>
  <sheetData>
    <row r="1" spans="1:21">
      <c r="A1" s="149"/>
      <c r="B1" s="149"/>
      <c r="C1" s="149"/>
      <c r="D1" s="150" t="s">
        <v>153</v>
      </c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</row>
    <row r="2" spans="1:21">
      <c r="A2" s="149"/>
      <c r="B2" s="149"/>
      <c r="C2" s="149"/>
      <c r="D2" s="150" t="s">
        <v>154</v>
      </c>
      <c r="E2" s="150"/>
      <c r="F2" s="150"/>
      <c r="G2" s="150"/>
      <c r="H2" s="150"/>
      <c r="I2" s="150"/>
      <c r="J2" s="150"/>
      <c r="K2" s="150"/>
      <c r="L2" s="150"/>
      <c r="M2" s="150"/>
      <c r="N2" s="150"/>
      <c r="O2" s="150"/>
      <c r="P2" s="150"/>
      <c r="Q2" s="150"/>
      <c r="R2" s="150"/>
      <c r="S2" s="150"/>
      <c r="T2" s="150"/>
      <c r="U2" s="150"/>
    </row>
    <row r="3" spans="1:21">
      <c r="A3" s="149"/>
      <c r="B3" s="149"/>
      <c r="C3" s="149"/>
      <c r="D3" s="150" t="s">
        <v>155</v>
      </c>
      <c r="E3" s="150"/>
      <c r="F3" s="150"/>
      <c r="G3" s="150"/>
      <c r="H3" s="150"/>
      <c r="I3" s="150"/>
      <c r="J3" s="150"/>
      <c r="K3" s="150"/>
      <c r="L3" s="150"/>
      <c r="M3" s="150"/>
      <c r="N3" s="150"/>
      <c r="O3" s="150"/>
      <c r="P3" s="150"/>
      <c r="Q3" s="150"/>
      <c r="R3" s="150"/>
      <c r="S3" s="150"/>
      <c r="T3" s="150"/>
      <c r="U3" s="150"/>
    </row>
    <row r="4" spans="1:21">
      <c r="A4" s="151" t="s">
        <v>156</v>
      </c>
      <c r="B4" s="151"/>
      <c r="C4" s="151"/>
      <c r="D4" s="150"/>
      <c r="E4" s="150"/>
      <c r="F4" s="150"/>
      <c r="G4" s="150"/>
      <c r="H4" s="150"/>
      <c r="I4" s="150"/>
      <c r="J4" s="150"/>
      <c r="K4" s="150"/>
      <c r="L4" s="150"/>
      <c r="M4" s="150"/>
      <c r="N4" s="150"/>
      <c r="O4" s="150"/>
      <c r="P4" s="150"/>
      <c r="Q4" s="150"/>
      <c r="R4" s="150"/>
      <c r="S4" s="150"/>
      <c r="T4" s="150"/>
      <c r="U4" s="150"/>
    </row>
    <row r="5" spans="1:21" ht="21" customHeight="1">
      <c r="A5" s="141"/>
      <c r="B5" s="142"/>
      <c r="C5" s="143"/>
      <c r="D5" s="144" t="s">
        <v>157</v>
      </c>
      <c r="E5" s="145"/>
      <c r="F5" s="145"/>
      <c r="G5" s="145"/>
      <c r="H5" s="145"/>
      <c r="I5" s="145"/>
      <c r="J5" s="145"/>
      <c r="K5" s="145"/>
      <c r="L5" s="146" t="s">
        <v>158</v>
      </c>
      <c r="M5" s="146"/>
      <c r="N5" s="146"/>
      <c r="O5" s="146"/>
      <c r="P5" s="146"/>
      <c r="Q5" s="147" t="s">
        <v>159</v>
      </c>
      <c r="R5" s="147"/>
      <c r="S5" s="147"/>
      <c r="T5" s="147"/>
      <c r="U5" s="148"/>
    </row>
    <row r="6" spans="1:21">
      <c r="A6" s="14"/>
      <c r="B6" s="15"/>
      <c r="C6" s="15"/>
      <c r="U6" s="1"/>
    </row>
    <row r="7" spans="1:21">
      <c r="A7" s="16"/>
      <c r="B7" s="126" t="s">
        <v>160</v>
      </c>
      <c r="C7" s="127"/>
      <c r="D7" s="127"/>
      <c r="E7" s="127"/>
      <c r="F7" s="127"/>
      <c r="G7" s="127"/>
      <c r="H7" s="127"/>
      <c r="I7" s="128"/>
      <c r="J7" s="22"/>
      <c r="K7" s="22"/>
      <c r="U7" s="1"/>
    </row>
    <row r="8" spans="1:21">
      <c r="A8" s="16"/>
      <c r="B8" s="208" t="s">
        <v>161</v>
      </c>
      <c r="C8" s="208"/>
      <c r="D8" s="208"/>
      <c r="E8" s="208"/>
      <c r="F8" s="208"/>
      <c r="G8" s="208"/>
      <c r="H8" s="208"/>
      <c r="I8" s="208"/>
      <c r="J8" s="23"/>
      <c r="K8" s="23"/>
      <c r="L8" s="25"/>
      <c r="M8" s="3"/>
      <c r="N8" s="3"/>
      <c r="O8" s="3"/>
      <c r="P8" s="3"/>
      <c r="Q8" s="3"/>
      <c r="R8" s="3"/>
      <c r="S8" s="3"/>
      <c r="T8" s="3"/>
      <c r="U8" s="4"/>
    </row>
    <row r="9" spans="1:21">
      <c r="A9" s="16"/>
      <c r="B9" s="208" t="s">
        <v>162</v>
      </c>
      <c r="C9" s="208"/>
      <c r="D9" s="208"/>
      <c r="E9" s="208"/>
      <c r="F9" s="208"/>
      <c r="G9" s="208"/>
      <c r="H9" s="208"/>
      <c r="I9" s="208"/>
      <c r="J9" s="23"/>
      <c r="K9" s="129" t="s">
        <v>163</v>
      </c>
      <c r="L9" s="129"/>
      <c r="M9" s="129"/>
      <c r="N9" s="129"/>
      <c r="O9" s="129"/>
      <c r="P9" s="129"/>
      <c r="Q9" s="129"/>
      <c r="R9" s="129"/>
      <c r="S9" s="129"/>
      <c r="T9" s="3"/>
      <c r="U9" s="4"/>
    </row>
    <row r="10" spans="1:21">
      <c r="A10" s="16"/>
      <c r="B10" s="208" t="s">
        <v>164</v>
      </c>
      <c r="C10" s="208"/>
      <c r="D10" s="208"/>
      <c r="E10" s="208"/>
      <c r="F10" s="208"/>
      <c r="G10" s="208"/>
      <c r="H10" s="208"/>
      <c r="I10" s="208"/>
      <c r="J10" s="22"/>
      <c r="K10" s="130" t="s">
        <v>165</v>
      </c>
      <c r="L10" s="130"/>
      <c r="M10" s="130"/>
      <c r="N10" s="130"/>
      <c r="O10" s="130"/>
      <c r="P10" s="130"/>
      <c r="Q10" s="130"/>
      <c r="R10" s="130"/>
      <c r="S10" s="130"/>
      <c r="T10" s="2"/>
      <c r="U10" s="1"/>
    </row>
    <row r="11" spans="1:21" ht="35.25" customHeight="1">
      <c r="A11" s="5"/>
      <c r="B11" s="131" t="s">
        <v>166</v>
      </c>
      <c r="C11" s="132"/>
      <c r="D11" s="132"/>
      <c r="E11" s="132"/>
      <c r="F11" s="133"/>
      <c r="G11" s="134">
        <v>45671</v>
      </c>
      <c r="H11" s="124"/>
      <c r="I11" s="125"/>
      <c r="J11" s="23"/>
      <c r="K11" s="135" t="s">
        <v>167</v>
      </c>
      <c r="L11" s="136"/>
      <c r="M11" s="136"/>
      <c r="N11" s="136"/>
      <c r="O11" s="136"/>
      <c r="P11" s="136"/>
      <c r="Q11" s="136"/>
      <c r="R11" s="136"/>
      <c r="S11" s="137"/>
      <c r="T11" s="12"/>
      <c r="U11" s="6"/>
    </row>
    <row r="12" spans="1:21" ht="15" customHeight="1">
      <c r="A12" s="5"/>
      <c r="B12" s="138" t="s">
        <v>168</v>
      </c>
      <c r="C12" s="139"/>
      <c r="D12" s="139"/>
      <c r="E12" s="139"/>
      <c r="F12" s="139"/>
      <c r="G12" s="139"/>
      <c r="H12" s="139"/>
      <c r="I12" s="140"/>
      <c r="J12" s="23"/>
      <c r="K12" s="113" t="s">
        <v>169</v>
      </c>
      <c r="L12" s="114"/>
      <c r="M12" s="114"/>
      <c r="N12" s="114"/>
      <c r="O12" s="114"/>
      <c r="P12" s="114"/>
      <c r="Q12" s="114"/>
      <c r="R12" s="114"/>
      <c r="S12" s="115"/>
      <c r="T12" s="12"/>
      <c r="U12" s="6"/>
    </row>
    <row r="13" spans="1:21">
      <c r="A13" s="5"/>
      <c r="B13" s="123" t="s">
        <v>170</v>
      </c>
      <c r="C13" s="124"/>
      <c r="D13" s="124"/>
      <c r="E13" s="124"/>
      <c r="F13" s="124"/>
      <c r="G13" s="124"/>
      <c r="H13" s="124"/>
      <c r="I13" s="125"/>
      <c r="J13" s="24"/>
      <c r="K13" s="113" t="s">
        <v>171</v>
      </c>
      <c r="L13" s="114"/>
      <c r="M13" s="114"/>
      <c r="N13" s="114"/>
      <c r="O13" s="114"/>
      <c r="P13" s="114"/>
      <c r="Q13" s="114"/>
      <c r="R13" s="114"/>
      <c r="S13" s="115"/>
      <c r="T13" s="3"/>
      <c r="U13" s="4"/>
    </row>
    <row r="14" spans="1:21" ht="30" customHeight="1">
      <c r="A14" s="5"/>
      <c r="B14" s="110" t="s">
        <v>172</v>
      </c>
      <c r="C14" s="111"/>
      <c r="D14" s="111"/>
      <c r="E14" s="111"/>
      <c r="F14" s="111"/>
      <c r="G14" s="111"/>
      <c r="H14" s="111"/>
      <c r="I14" s="112"/>
      <c r="J14" s="21"/>
      <c r="K14" s="113" t="s">
        <v>173</v>
      </c>
      <c r="L14" s="114"/>
      <c r="M14" s="114"/>
      <c r="N14" s="114"/>
      <c r="O14" s="114"/>
      <c r="P14" s="114"/>
      <c r="Q14" s="114"/>
      <c r="R14" s="114"/>
      <c r="S14" s="115"/>
      <c r="T14" s="7"/>
      <c r="U14" s="8"/>
    </row>
    <row r="15" spans="1:21" ht="15" customHeight="1">
      <c r="A15" s="5"/>
      <c r="B15" s="116" t="s">
        <v>174</v>
      </c>
      <c r="C15" s="117"/>
      <c r="D15" s="117"/>
      <c r="E15" s="117"/>
      <c r="F15" s="117"/>
      <c r="G15" s="117"/>
      <c r="H15" s="117"/>
      <c r="I15" s="118"/>
      <c r="J15" s="21"/>
      <c r="K15" s="23"/>
      <c r="L15" s="25"/>
      <c r="M15" s="13"/>
      <c r="N15" s="13"/>
      <c r="O15" s="13"/>
      <c r="P15" s="13"/>
      <c r="Q15" s="13"/>
      <c r="R15" s="13"/>
      <c r="S15" s="13"/>
      <c r="T15" s="7"/>
      <c r="U15" s="8"/>
    </row>
    <row r="16" spans="1:21">
      <c r="A16" s="9"/>
      <c r="B16" s="119" t="s">
        <v>175</v>
      </c>
      <c r="C16" s="120"/>
      <c r="D16" s="120"/>
      <c r="E16" s="120"/>
      <c r="F16" s="120"/>
      <c r="G16" s="120"/>
      <c r="H16" s="120"/>
      <c r="I16" s="121"/>
      <c r="J16" s="22"/>
      <c r="K16" s="22"/>
      <c r="L16" s="26"/>
      <c r="M16" s="2"/>
      <c r="N16" s="10"/>
      <c r="O16" s="10"/>
      <c r="P16" s="10"/>
      <c r="Q16" s="10"/>
      <c r="R16" s="10"/>
      <c r="S16" s="10"/>
      <c r="T16" s="2"/>
      <c r="U16" s="1"/>
    </row>
    <row r="17" spans="1:21">
      <c r="A17" s="16"/>
      <c r="B17" s="11"/>
      <c r="C17" s="11"/>
      <c r="D17" s="11"/>
      <c r="E17" s="11"/>
      <c r="F17" s="11"/>
      <c r="G17" s="7"/>
      <c r="H17" s="7"/>
      <c r="I17" s="21"/>
      <c r="J17" s="22"/>
      <c r="K17" s="22"/>
      <c r="L17" s="26"/>
      <c r="M17" s="2"/>
      <c r="N17" s="10"/>
      <c r="O17" s="10"/>
      <c r="P17" s="10"/>
      <c r="Q17" s="10"/>
      <c r="R17" s="10"/>
      <c r="S17" s="10"/>
      <c r="T17" s="2"/>
      <c r="U17" s="1"/>
    </row>
    <row r="18" spans="1:21">
      <c r="A18" s="16"/>
      <c r="B18" s="209" t="s">
        <v>176</v>
      </c>
      <c r="C18" s="209"/>
      <c r="D18" s="209"/>
      <c r="E18" s="209"/>
      <c r="F18" s="209"/>
      <c r="G18" s="209"/>
      <c r="H18" s="209"/>
      <c r="I18" s="122" t="s">
        <v>177</v>
      </c>
      <c r="J18" s="122"/>
      <c r="K18" s="122"/>
      <c r="L18" s="18" t="s">
        <v>178</v>
      </c>
      <c r="M18" s="95" t="s">
        <v>179</v>
      </c>
      <c r="N18" s="95"/>
      <c r="O18" s="95"/>
      <c r="P18" s="95"/>
      <c r="Q18" s="95"/>
      <c r="R18" s="95" t="s">
        <v>180</v>
      </c>
      <c r="S18" s="95"/>
      <c r="T18" s="95"/>
      <c r="U18" s="1"/>
    </row>
    <row r="19" spans="1:21" s="31" customFormat="1" ht="22.5" customHeight="1">
      <c r="A19" s="28"/>
      <c r="B19" s="152" t="s">
        <v>181</v>
      </c>
      <c r="C19" s="153"/>
      <c r="D19" s="153"/>
      <c r="E19" s="153"/>
      <c r="F19" s="153"/>
      <c r="G19" s="153"/>
      <c r="H19" s="154"/>
      <c r="I19" s="155">
        <v>10</v>
      </c>
      <c r="J19" s="156"/>
      <c r="K19" s="157"/>
      <c r="L19" s="29" t="s">
        <v>182</v>
      </c>
      <c r="M19" s="158"/>
      <c r="N19" s="158"/>
      <c r="O19" s="158"/>
      <c r="P19" s="158"/>
      <c r="Q19" s="158"/>
      <c r="R19" s="158"/>
      <c r="S19" s="158"/>
      <c r="T19" s="158"/>
      <c r="U19" s="30"/>
    </row>
    <row r="20" spans="1:21" s="31" customFormat="1" ht="26.25" customHeight="1">
      <c r="A20" s="28"/>
      <c r="B20" s="159" t="s">
        <v>128</v>
      </c>
      <c r="C20" s="159"/>
      <c r="D20" s="159"/>
      <c r="E20" s="159"/>
      <c r="F20" s="159"/>
      <c r="G20" s="159"/>
      <c r="H20" s="159"/>
      <c r="I20" s="160">
        <v>20</v>
      </c>
      <c r="J20" s="156"/>
      <c r="K20" s="157"/>
      <c r="L20" s="29" t="s">
        <v>182</v>
      </c>
      <c r="M20" s="158"/>
      <c r="N20" s="158"/>
      <c r="O20" s="158"/>
      <c r="P20" s="158"/>
      <c r="Q20" s="158"/>
      <c r="R20" s="158"/>
      <c r="S20" s="158"/>
      <c r="T20" s="158"/>
      <c r="U20" s="30"/>
    </row>
    <row r="21" spans="1:21" s="31" customFormat="1" ht="24" customHeight="1">
      <c r="A21" s="28"/>
      <c r="B21" s="159"/>
      <c r="C21" s="159"/>
      <c r="D21" s="159"/>
      <c r="E21" s="159"/>
      <c r="F21" s="159"/>
      <c r="G21" s="159"/>
      <c r="H21" s="159"/>
      <c r="I21" s="160"/>
      <c r="J21" s="156"/>
      <c r="K21" s="157"/>
      <c r="L21" s="29"/>
      <c r="M21" s="158"/>
      <c r="N21" s="158"/>
      <c r="O21" s="158"/>
      <c r="P21" s="158"/>
      <c r="Q21" s="158"/>
      <c r="R21" s="158"/>
      <c r="S21" s="158"/>
      <c r="T21" s="158"/>
      <c r="U21" s="30"/>
    </row>
    <row r="22" spans="1:21" s="31" customFormat="1" ht="19.5" customHeight="1">
      <c r="A22" s="28"/>
      <c r="B22" s="91"/>
      <c r="C22" s="91"/>
      <c r="D22" s="91"/>
      <c r="E22" s="91"/>
      <c r="F22" s="91"/>
      <c r="G22" s="91"/>
      <c r="H22" s="91"/>
      <c r="I22" s="160"/>
      <c r="J22" s="156"/>
      <c r="K22" s="157"/>
      <c r="L22" s="29"/>
      <c r="M22" s="158"/>
      <c r="N22" s="158"/>
      <c r="O22" s="158"/>
      <c r="P22" s="158"/>
      <c r="Q22" s="158"/>
      <c r="R22" s="161"/>
      <c r="S22" s="162"/>
      <c r="T22" s="163"/>
      <c r="U22" s="30"/>
    </row>
    <row r="23" spans="1:21" ht="19.5" customHeight="1">
      <c r="A23" s="16"/>
      <c r="B23" s="91"/>
      <c r="C23" s="91"/>
      <c r="D23" s="91"/>
      <c r="E23" s="91"/>
      <c r="F23" s="91"/>
      <c r="G23" s="91"/>
      <c r="H23" s="91"/>
      <c r="I23" s="92"/>
      <c r="J23" s="93"/>
      <c r="K23" s="94"/>
      <c r="L23" s="27"/>
      <c r="M23" s="95"/>
      <c r="N23" s="95"/>
      <c r="O23" s="95"/>
      <c r="P23" s="95"/>
      <c r="Q23" s="95"/>
      <c r="R23" s="95"/>
      <c r="S23" s="95"/>
      <c r="T23" s="95"/>
      <c r="U23" s="1"/>
    </row>
    <row r="24" spans="1:21" ht="19.5" customHeight="1">
      <c r="A24" s="16"/>
      <c r="B24" s="91"/>
      <c r="C24" s="91"/>
      <c r="D24" s="91"/>
      <c r="E24" s="91"/>
      <c r="F24" s="91"/>
      <c r="G24" s="91"/>
      <c r="H24" s="91"/>
      <c r="I24" s="92"/>
      <c r="J24" s="93"/>
      <c r="K24" s="94"/>
      <c r="L24" s="27"/>
      <c r="M24" s="95"/>
      <c r="N24" s="95"/>
      <c r="O24" s="95"/>
      <c r="P24" s="95"/>
      <c r="Q24" s="95"/>
      <c r="R24" s="95"/>
      <c r="S24" s="95"/>
      <c r="T24" s="95"/>
      <c r="U24" s="1"/>
    </row>
    <row r="25" spans="1:21" ht="19.5" customHeight="1">
      <c r="A25" s="16"/>
      <c r="B25" s="91"/>
      <c r="C25" s="91"/>
      <c r="D25" s="91"/>
      <c r="E25" s="91"/>
      <c r="F25" s="91"/>
      <c r="G25" s="91"/>
      <c r="H25" s="91"/>
      <c r="I25" s="92"/>
      <c r="J25" s="93"/>
      <c r="K25" s="94"/>
      <c r="L25" s="27"/>
      <c r="M25" s="95"/>
      <c r="N25" s="95"/>
      <c r="O25" s="95"/>
      <c r="P25" s="95"/>
      <c r="Q25" s="95"/>
      <c r="R25" s="95"/>
      <c r="S25" s="95"/>
      <c r="T25" s="95"/>
      <c r="U25" s="1"/>
    </row>
    <row r="26" spans="1:21" ht="19.5" customHeight="1">
      <c r="A26" s="16"/>
      <c r="B26" s="91"/>
      <c r="C26" s="91"/>
      <c r="D26" s="91"/>
      <c r="E26" s="91"/>
      <c r="F26" s="91"/>
      <c r="G26" s="91"/>
      <c r="H26" s="91"/>
      <c r="I26" s="92"/>
      <c r="J26" s="93"/>
      <c r="K26" s="94"/>
      <c r="L26" s="27"/>
      <c r="M26" s="95"/>
      <c r="N26" s="95"/>
      <c r="O26" s="95"/>
      <c r="P26" s="95"/>
      <c r="Q26" s="95"/>
      <c r="R26" s="95"/>
      <c r="S26" s="95"/>
      <c r="T26" s="95"/>
      <c r="U26" s="1"/>
    </row>
    <row r="27" spans="1:21" ht="19.5" customHeight="1">
      <c r="A27" s="16"/>
      <c r="B27" s="91"/>
      <c r="C27" s="91"/>
      <c r="D27" s="91"/>
      <c r="E27" s="91"/>
      <c r="F27" s="91"/>
      <c r="G27" s="91"/>
      <c r="H27" s="91"/>
      <c r="I27" s="92"/>
      <c r="J27" s="93"/>
      <c r="K27" s="94"/>
      <c r="L27" s="27"/>
      <c r="M27" s="95"/>
      <c r="N27" s="95"/>
      <c r="O27" s="95"/>
      <c r="P27" s="95"/>
      <c r="Q27" s="95"/>
      <c r="R27" s="95"/>
      <c r="S27" s="95"/>
      <c r="T27" s="95"/>
      <c r="U27" s="1"/>
    </row>
    <row r="28" spans="1:21" ht="18.75" customHeight="1">
      <c r="A28" s="16"/>
      <c r="B28" s="91"/>
      <c r="C28" s="91"/>
      <c r="D28" s="91"/>
      <c r="E28" s="91"/>
      <c r="F28" s="91"/>
      <c r="G28" s="91"/>
      <c r="H28" s="91"/>
      <c r="I28" s="92"/>
      <c r="J28" s="93"/>
      <c r="K28" s="94"/>
      <c r="L28" s="27"/>
      <c r="M28" s="95"/>
      <c r="N28" s="95"/>
      <c r="O28" s="95"/>
      <c r="P28" s="95"/>
      <c r="Q28" s="95"/>
      <c r="R28" s="95"/>
      <c r="S28" s="95"/>
      <c r="T28" s="95"/>
      <c r="U28" s="1"/>
    </row>
    <row r="29" spans="1:21" ht="19.5" customHeight="1">
      <c r="A29" s="16"/>
      <c r="B29" s="108"/>
      <c r="C29" s="109"/>
      <c r="D29" s="109"/>
      <c r="E29" s="109"/>
      <c r="F29" s="109"/>
      <c r="G29" s="109"/>
      <c r="H29" s="109"/>
      <c r="I29" s="103"/>
      <c r="J29" s="103"/>
      <c r="K29" s="103"/>
      <c r="L29" s="32"/>
      <c r="M29" s="95"/>
      <c r="N29" s="95"/>
      <c r="O29" s="95"/>
      <c r="P29" s="95"/>
      <c r="Q29" s="95"/>
      <c r="R29" s="95"/>
      <c r="S29" s="95"/>
      <c r="T29" s="95"/>
      <c r="U29" s="1"/>
    </row>
    <row r="30" spans="1:21" ht="19.5" customHeight="1">
      <c r="A30" s="16"/>
      <c r="B30" s="108"/>
      <c r="C30" s="109"/>
      <c r="D30" s="109"/>
      <c r="E30" s="109"/>
      <c r="F30" s="109"/>
      <c r="G30" s="109"/>
      <c r="H30" s="109"/>
      <c r="I30" s="164"/>
      <c r="J30" s="164"/>
      <c r="K30" s="164"/>
      <c r="L30" s="32"/>
      <c r="M30" s="95"/>
      <c r="N30" s="95"/>
      <c r="O30" s="95"/>
      <c r="P30" s="95"/>
      <c r="Q30" s="95"/>
      <c r="R30" s="95"/>
      <c r="S30" s="95"/>
      <c r="T30" s="95"/>
      <c r="U30" s="1"/>
    </row>
    <row r="31" spans="1:21" ht="19.5" customHeight="1">
      <c r="A31" s="16"/>
      <c r="B31" s="91"/>
      <c r="C31" s="91"/>
      <c r="D31" s="91"/>
      <c r="E31" s="91"/>
      <c r="F31" s="91"/>
      <c r="G31" s="91"/>
      <c r="H31" s="91"/>
      <c r="I31" s="92"/>
      <c r="J31" s="93"/>
      <c r="K31" s="94"/>
      <c r="L31" s="27"/>
      <c r="M31" s="95"/>
      <c r="N31" s="95"/>
      <c r="O31" s="95"/>
      <c r="P31" s="95"/>
      <c r="Q31" s="95"/>
      <c r="R31" s="95"/>
      <c r="S31" s="95"/>
      <c r="T31" s="95"/>
      <c r="U31" s="1"/>
    </row>
    <row r="32" spans="1:21" ht="47.25" customHeight="1">
      <c r="A32" s="16"/>
      <c r="B32" s="100"/>
      <c r="C32" s="101"/>
      <c r="D32" s="101"/>
      <c r="E32" s="102"/>
      <c r="F32" s="103" t="s">
        <v>183</v>
      </c>
      <c r="G32" s="103"/>
      <c r="H32" s="103"/>
      <c r="I32" s="103"/>
      <c r="J32" s="103"/>
      <c r="K32" s="103"/>
      <c r="L32" s="103"/>
      <c r="M32" s="103"/>
      <c r="N32" s="103"/>
      <c r="O32" s="103"/>
      <c r="P32" s="104"/>
      <c r="Q32" s="105"/>
      <c r="R32" s="105"/>
      <c r="S32" s="105"/>
      <c r="T32" s="106"/>
      <c r="U32" s="1"/>
    </row>
    <row r="33" spans="1:21" ht="13.5" customHeight="1">
      <c r="A33" s="16"/>
      <c r="B33" s="100"/>
      <c r="C33" s="101"/>
      <c r="D33" s="101"/>
      <c r="E33" s="101"/>
      <c r="F33" s="101"/>
      <c r="G33" s="102"/>
      <c r="H33" s="107" t="s">
        <v>184</v>
      </c>
      <c r="I33" s="107"/>
      <c r="J33" s="107"/>
      <c r="K33" s="107"/>
      <c r="L33" s="107"/>
      <c r="M33" s="107"/>
      <c r="N33" s="107"/>
      <c r="O33" s="107"/>
      <c r="P33" s="104"/>
      <c r="Q33" s="105"/>
      <c r="R33" s="105"/>
      <c r="S33" s="105"/>
      <c r="T33" s="106"/>
      <c r="U33" s="1"/>
    </row>
    <row r="34" spans="1:21" ht="15" customHeight="1">
      <c r="B34" s="96" t="s">
        <v>185</v>
      </c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7"/>
    </row>
    <row r="35" spans="1:21">
      <c r="A35" s="17"/>
      <c r="B35" s="98"/>
      <c r="C35" s="98"/>
      <c r="D35" s="98"/>
      <c r="E35" s="98"/>
      <c r="F35" s="98"/>
      <c r="G35" s="98"/>
      <c r="H35" s="98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99"/>
    </row>
    <row r="37" spans="1:21">
      <c r="A37" t="s">
        <v>186</v>
      </c>
    </row>
  </sheetData>
  <mergeCells count="89">
    <mergeCell ref="B26:H26"/>
    <mergeCell ref="I26:K26"/>
    <mergeCell ref="M26:Q26"/>
    <mergeCell ref="R26:T26"/>
    <mergeCell ref="B24:H24"/>
    <mergeCell ref="I24:K24"/>
    <mergeCell ref="M24:Q24"/>
    <mergeCell ref="R24:T24"/>
    <mergeCell ref="B25:H25"/>
    <mergeCell ref="I25:K25"/>
    <mergeCell ref="M25:Q25"/>
    <mergeCell ref="R25:T25"/>
    <mergeCell ref="B34:U35"/>
    <mergeCell ref="B32:E32"/>
    <mergeCell ref="F32:O32"/>
    <mergeCell ref="P32:T32"/>
    <mergeCell ref="B33:G33"/>
    <mergeCell ref="H33:O33"/>
    <mergeCell ref="P33:T33"/>
    <mergeCell ref="B30:H30"/>
    <mergeCell ref="I30:K30"/>
    <mergeCell ref="M30:Q30"/>
    <mergeCell ref="R30:T30"/>
    <mergeCell ref="B31:H31"/>
    <mergeCell ref="I31:K31"/>
    <mergeCell ref="M31:Q31"/>
    <mergeCell ref="R31:T31"/>
    <mergeCell ref="B28:H28"/>
    <mergeCell ref="I28:K28"/>
    <mergeCell ref="M28:Q28"/>
    <mergeCell ref="R28:T28"/>
    <mergeCell ref="B29:H29"/>
    <mergeCell ref="I29:K29"/>
    <mergeCell ref="M29:Q29"/>
    <mergeCell ref="R29:T29"/>
    <mergeCell ref="B27:H27"/>
    <mergeCell ref="I27:K27"/>
    <mergeCell ref="M27:Q27"/>
    <mergeCell ref="R27:T27"/>
    <mergeCell ref="B21:H21"/>
    <mergeCell ref="I21:K21"/>
    <mergeCell ref="M21:Q21"/>
    <mergeCell ref="R21:T21"/>
    <mergeCell ref="B22:H22"/>
    <mergeCell ref="I22:K22"/>
    <mergeCell ref="M22:Q22"/>
    <mergeCell ref="R22:T22"/>
    <mergeCell ref="B23:H23"/>
    <mergeCell ref="I23:K23"/>
    <mergeCell ref="M23:Q23"/>
    <mergeCell ref="R23:T23"/>
    <mergeCell ref="B19:H19"/>
    <mergeCell ref="I19:K19"/>
    <mergeCell ref="M19:Q19"/>
    <mergeCell ref="R19:T19"/>
    <mergeCell ref="B20:H20"/>
    <mergeCell ref="I20:K20"/>
    <mergeCell ref="M20:Q20"/>
    <mergeCell ref="R20:T20"/>
    <mergeCell ref="B14:I14"/>
    <mergeCell ref="K14:S14"/>
    <mergeCell ref="B15:I15"/>
    <mergeCell ref="B16:I16"/>
    <mergeCell ref="B18:H18"/>
    <mergeCell ref="I18:K18"/>
    <mergeCell ref="M18:Q18"/>
    <mergeCell ref="R18:T18"/>
    <mergeCell ref="B13:I13"/>
    <mergeCell ref="K13:S13"/>
    <mergeCell ref="B12:I12"/>
    <mergeCell ref="K12:S12"/>
    <mergeCell ref="A5:C5"/>
    <mergeCell ref="D5:K5"/>
    <mergeCell ref="L5:P5"/>
    <mergeCell ref="Q5:U5"/>
    <mergeCell ref="B7:I7"/>
    <mergeCell ref="B8:I8"/>
    <mergeCell ref="B9:I9"/>
    <mergeCell ref="K9:S9"/>
    <mergeCell ref="B10:I10"/>
    <mergeCell ref="K10:S10"/>
    <mergeCell ref="B11:F11"/>
    <mergeCell ref="G11:I11"/>
    <mergeCell ref="K11:S11"/>
    <mergeCell ref="A1:C3"/>
    <mergeCell ref="D1:U1"/>
    <mergeCell ref="D2:U2"/>
    <mergeCell ref="D3:U4"/>
    <mergeCell ref="A4:C4"/>
  </mergeCells>
  <printOptions horizontalCentered="1"/>
  <pageMargins left="0.70866141732283472" right="0.70866141732283472" top="0.74803149606299213" bottom="0.74803149606299213" header="0.31496062992125984" footer="0.31496062992125984"/>
  <pageSetup paperSize="9" scale="76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42308-2F7A-49EC-93A0-F15AF553A239}">
  <sheetPr>
    <tabColor theme="9" tint="-0.499984740745262"/>
    <pageSetUpPr fitToPage="1"/>
  </sheetPr>
  <dimension ref="A1:U44"/>
  <sheetViews>
    <sheetView view="pageBreakPreview" topLeftCell="A19" zoomScale="90" zoomScaleNormal="100" zoomScaleSheetLayoutView="90" workbookViewId="0">
      <selection activeCell="B12" sqref="B12:I12"/>
    </sheetView>
  </sheetViews>
  <sheetFormatPr defaultColWidth="10.7109375" defaultRowHeight="15"/>
  <cols>
    <col min="1" max="1" width="2" customWidth="1"/>
    <col min="2" max="2" width="6.28515625" style="53" customWidth="1"/>
    <col min="3" max="3" width="5.7109375" style="53" customWidth="1"/>
    <col min="4" max="4" width="11.85546875" style="53" customWidth="1"/>
    <col min="5" max="5" width="3.5703125" style="53" customWidth="1"/>
    <col min="6" max="6" width="2.85546875" style="53" customWidth="1"/>
    <col min="7" max="7" width="3.28515625" style="53" customWidth="1"/>
    <col min="8" max="8" width="25.7109375" style="53" customWidth="1"/>
    <col min="9" max="9" width="5.85546875" style="20" customWidth="1"/>
    <col min="10" max="10" width="4.85546875" style="20" customWidth="1"/>
    <col min="11" max="11" width="2.5703125" style="20" customWidth="1"/>
    <col min="12" max="12" width="14" style="19" customWidth="1"/>
    <col min="13" max="13" width="1.85546875" customWidth="1"/>
    <col min="14" max="14" width="2.28515625" customWidth="1"/>
    <col min="15" max="15" width="1.85546875" customWidth="1"/>
    <col min="16" max="16" width="2.7109375" customWidth="1"/>
    <col min="17" max="18" width="3.85546875" customWidth="1"/>
    <col min="19" max="19" width="4" customWidth="1"/>
    <col min="20" max="20" width="3.28515625" customWidth="1"/>
    <col min="21" max="21" width="1.7109375" customWidth="1"/>
  </cols>
  <sheetData>
    <row r="1" spans="1:21">
      <c r="A1" s="149"/>
      <c r="B1" s="149"/>
      <c r="C1" s="149"/>
      <c r="D1" s="150" t="s">
        <v>153</v>
      </c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</row>
    <row r="2" spans="1:21">
      <c r="A2" s="149"/>
      <c r="B2" s="149"/>
      <c r="C2" s="149"/>
      <c r="D2" s="150" t="s">
        <v>154</v>
      </c>
      <c r="E2" s="150"/>
      <c r="F2" s="150"/>
      <c r="G2" s="150"/>
      <c r="H2" s="150"/>
      <c r="I2" s="150"/>
      <c r="J2" s="150"/>
      <c r="K2" s="150"/>
      <c r="L2" s="150"/>
      <c r="M2" s="150"/>
      <c r="N2" s="150"/>
      <c r="O2" s="150"/>
      <c r="P2" s="150"/>
      <c r="Q2" s="150"/>
      <c r="R2" s="150"/>
      <c r="S2" s="150"/>
      <c r="T2" s="150"/>
      <c r="U2" s="150"/>
    </row>
    <row r="3" spans="1:21">
      <c r="A3" s="149"/>
      <c r="B3" s="149"/>
      <c r="C3" s="149"/>
      <c r="D3" s="150" t="s">
        <v>155</v>
      </c>
      <c r="E3" s="150"/>
      <c r="F3" s="150"/>
      <c r="G3" s="150"/>
      <c r="H3" s="150"/>
      <c r="I3" s="150"/>
      <c r="J3" s="150"/>
      <c r="K3" s="150"/>
      <c r="L3" s="150"/>
      <c r="M3" s="150"/>
      <c r="N3" s="150"/>
      <c r="O3" s="150"/>
      <c r="P3" s="150"/>
      <c r="Q3" s="150"/>
      <c r="R3" s="150"/>
      <c r="S3" s="150"/>
      <c r="T3" s="150"/>
      <c r="U3" s="150"/>
    </row>
    <row r="4" spans="1:21">
      <c r="A4" s="151" t="s">
        <v>156</v>
      </c>
      <c r="B4" s="151"/>
      <c r="C4" s="151"/>
      <c r="D4" s="150"/>
      <c r="E4" s="150"/>
      <c r="F4" s="150"/>
      <c r="G4" s="150"/>
      <c r="H4" s="150"/>
      <c r="I4" s="150"/>
      <c r="J4" s="150"/>
      <c r="K4" s="150"/>
      <c r="L4" s="150"/>
      <c r="M4" s="150"/>
      <c r="N4" s="150"/>
      <c r="O4" s="150"/>
      <c r="P4" s="150"/>
      <c r="Q4" s="150"/>
      <c r="R4" s="150"/>
      <c r="S4" s="150"/>
      <c r="T4" s="150"/>
      <c r="U4" s="150"/>
    </row>
    <row r="5" spans="1:21" ht="21" customHeight="1">
      <c r="A5" s="141"/>
      <c r="B5" s="142"/>
      <c r="C5" s="143"/>
      <c r="D5" s="144" t="s">
        <v>157</v>
      </c>
      <c r="E5" s="145"/>
      <c r="F5" s="145"/>
      <c r="G5" s="145"/>
      <c r="H5" s="145"/>
      <c r="I5" s="145"/>
      <c r="J5" s="145"/>
      <c r="K5" s="145"/>
      <c r="L5" s="146" t="s">
        <v>158</v>
      </c>
      <c r="M5" s="146"/>
      <c r="N5" s="146"/>
      <c r="O5" s="146"/>
      <c r="P5" s="146"/>
      <c r="Q5" s="147" t="s">
        <v>159</v>
      </c>
      <c r="R5" s="147"/>
      <c r="S5" s="147"/>
      <c r="T5" s="147"/>
      <c r="U5" s="148"/>
    </row>
    <row r="6" spans="1:21">
      <c r="A6" s="14"/>
      <c r="B6" s="90"/>
      <c r="C6" s="90"/>
      <c r="U6" s="1"/>
    </row>
    <row r="7" spans="1:21">
      <c r="A7" s="16"/>
      <c r="B7" s="126" t="s">
        <v>160</v>
      </c>
      <c r="C7" s="127"/>
      <c r="D7" s="127"/>
      <c r="E7" s="127"/>
      <c r="F7" s="127"/>
      <c r="G7" s="127"/>
      <c r="H7" s="127"/>
      <c r="I7" s="128"/>
      <c r="J7" s="22"/>
      <c r="K7" s="22"/>
      <c r="U7" s="1"/>
    </row>
    <row r="8" spans="1:21">
      <c r="A8" s="16"/>
      <c r="B8" s="208" t="s">
        <v>161</v>
      </c>
      <c r="C8" s="208"/>
      <c r="D8" s="208"/>
      <c r="E8" s="208"/>
      <c r="F8" s="208"/>
      <c r="G8" s="208"/>
      <c r="H8" s="208"/>
      <c r="I8" s="208"/>
      <c r="J8" s="23"/>
      <c r="K8" s="23"/>
      <c r="L8" s="25"/>
      <c r="M8" s="3"/>
      <c r="N8" s="3"/>
      <c r="O8" s="3"/>
      <c r="P8" s="3"/>
      <c r="Q8" s="3"/>
      <c r="R8" s="3"/>
      <c r="S8" s="3"/>
      <c r="T8" s="3"/>
      <c r="U8" s="4"/>
    </row>
    <row r="9" spans="1:21">
      <c r="A9" s="16"/>
      <c r="B9" s="208" t="s">
        <v>162</v>
      </c>
      <c r="C9" s="208"/>
      <c r="D9" s="208"/>
      <c r="E9" s="208"/>
      <c r="F9" s="208"/>
      <c r="G9" s="208"/>
      <c r="H9" s="208"/>
      <c r="I9" s="208"/>
      <c r="J9" s="23"/>
      <c r="K9" s="129" t="s">
        <v>163</v>
      </c>
      <c r="L9" s="129"/>
      <c r="M9" s="129"/>
      <c r="N9" s="129"/>
      <c r="O9" s="129"/>
      <c r="P9" s="129"/>
      <c r="Q9" s="129"/>
      <c r="R9" s="129"/>
      <c r="S9" s="129"/>
      <c r="T9" s="3"/>
      <c r="U9" s="4"/>
    </row>
    <row r="10" spans="1:21">
      <c r="A10" s="16"/>
      <c r="B10" s="208" t="s">
        <v>164</v>
      </c>
      <c r="C10" s="208"/>
      <c r="D10" s="208"/>
      <c r="E10" s="208"/>
      <c r="F10" s="208"/>
      <c r="G10" s="208"/>
      <c r="H10" s="208"/>
      <c r="I10" s="208"/>
      <c r="J10" s="22"/>
      <c r="K10" s="130" t="s">
        <v>165</v>
      </c>
      <c r="L10" s="130"/>
      <c r="M10" s="130"/>
      <c r="N10" s="130"/>
      <c r="O10" s="130"/>
      <c r="P10" s="130"/>
      <c r="Q10" s="130"/>
      <c r="R10" s="130"/>
      <c r="S10" s="130"/>
      <c r="T10" s="2"/>
      <c r="U10" s="1"/>
    </row>
    <row r="11" spans="1:21" ht="35.25" customHeight="1">
      <c r="A11" s="5"/>
      <c r="B11" s="131" t="s">
        <v>187</v>
      </c>
      <c r="C11" s="195"/>
      <c r="D11" s="195"/>
      <c r="E11" s="195"/>
      <c r="F11" s="196"/>
      <c r="G11" s="138" t="s">
        <v>188</v>
      </c>
      <c r="H11" s="124"/>
      <c r="I11" s="125"/>
      <c r="J11" s="23"/>
      <c r="K11" s="135" t="s">
        <v>167</v>
      </c>
      <c r="L11" s="136"/>
      <c r="M11" s="136"/>
      <c r="N11" s="136"/>
      <c r="O11" s="136"/>
      <c r="P11" s="136"/>
      <c r="Q11" s="136"/>
      <c r="R11" s="136"/>
      <c r="S11" s="137"/>
      <c r="T11" s="12"/>
      <c r="U11" s="6"/>
    </row>
    <row r="12" spans="1:21" ht="15" customHeight="1">
      <c r="A12" s="5"/>
      <c r="B12" s="138" t="s">
        <v>168</v>
      </c>
      <c r="C12" s="139"/>
      <c r="D12" s="139"/>
      <c r="E12" s="139"/>
      <c r="F12" s="139"/>
      <c r="G12" s="139"/>
      <c r="H12" s="139"/>
      <c r="I12" s="140"/>
      <c r="J12" s="23"/>
      <c r="K12" s="113" t="s">
        <v>169</v>
      </c>
      <c r="L12" s="114"/>
      <c r="M12" s="114"/>
      <c r="N12" s="114"/>
      <c r="O12" s="114"/>
      <c r="P12" s="114"/>
      <c r="Q12" s="114"/>
      <c r="R12" s="114"/>
      <c r="S12" s="115"/>
      <c r="T12" s="12"/>
      <c r="U12" s="6"/>
    </row>
    <row r="13" spans="1:21">
      <c r="A13" s="5"/>
      <c r="B13" s="123" t="s">
        <v>170</v>
      </c>
      <c r="C13" s="124"/>
      <c r="D13" s="124"/>
      <c r="E13" s="124"/>
      <c r="F13" s="124"/>
      <c r="G13" s="124"/>
      <c r="H13" s="124"/>
      <c r="I13" s="125"/>
      <c r="J13" s="24"/>
      <c r="K13" s="113" t="s">
        <v>171</v>
      </c>
      <c r="L13" s="114"/>
      <c r="M13" s="114"/>
      <c r="N13" s="114"/>
      <c r="O13" s="114"/>
      <c r="P13" s="114"/>
      <c r="Q13" s="114"/>
      <c r="R13" s="114"/>
      <c r="S13" s="115"/>
      <c r="T13" s="3"/>
      <c r="U13" s="4"/>
    </row>
    <row r="14" spans="1:21" ht="30" customHeight="1">
      <c r="A14" s="5"/>
      <c r="B14" s="110" t="s">
        <v>172</v>
      </c>
      <c r="C14" s="111"/>
      <c r="D14" s="111"/>
      <c r="E14" s="111"/>
      <c r="F14" s="111"/>
      <c r="G14" s="111"/>
      <c r="H14" s="111"/>
      <c r="I14" s="112"/>
      <c r="J14" s="21"/>
      <c r="K14" s="113" t="s">
        <v>189</v>
      </c>
      <c r="L14" s="114"/>
      <c r="M14" s="114"/>
      <c r="N14" s="114"/>
      <c r="O14" s="114"/>
      <c r="P14" s="114"/>
      <c r="Q14" s="114"/>
      <c r="R14" s="114"/>
      <c r="S14" s="115"/>
      <c r="T14" s="7"/>
      <c r="U14" s="8"/>
    </row>
    <row r="15" spans="1:21" ht="15" customHeight="1">
      <c r="A15" s="5"/>
      <c r="B15" s="116" t="s">
        <v>174</v>
      </c>
      <c r="C15" s="117"/>
      <c r="D15" s="117"/>
      <c r="E15" s="117"/>
      <c r="F15" s="117"/>
      <c r="G15" s="117"/>
      <c r="H15" s="117"/>
      <c r="I15" s="118"/>
      <c r="J15" s="21"/>
      <c r="K15" s="23"/>
      <c r="L15" s="25"/>
      <c r="M15" s="13"/>
      <c r="N15" s="13"/>
      <c r="O15" s="13"/>
      <c r="P15" s="13"/>
      <c r="Q15" s="13"/>
      <c r="R15" s="13"/>
      <c r="S15" s="13"/>
      <c r="T15" s="7"/>
      <c r="U15" s="8"/>
    </row>
    <row r="16" spans="1:21">
      <c r="A16" s="9"/>
      <c r="B16" s="119" t="s">
        <v>175</v>
      </c>
      <c r="C16" s="120"/>
      <c r="D16" s="120"/>
      <c r="E16" s="120"/>
      <c r="F16" s="120"/>
      <c r="G16" s="120"/>
      <c r="H16" s="120"/>
      <c r="I16" s="121"/>
      <c r="J16" s="22"/>
      <c r="K16" s="22"/>
      <c r="L16" s="26"/>
      <c r="M16" s="2"/>
      <c r="N16" s="10"/>
      <c r="O16" s="10"/>
      <c r="P16" s="10"/>
      <c r="Q16" s="10"/>
      <c r="R16" s="10"/>
      <c r="S16" s="10"/>
      <c r="T16" s="2"/>
      <c r="U16" s="1"/>
    </row>
    <row r="17" spans="1:21">
      <c r="A17" s="16"/>
      <c r="B17" s="10"/>
      <c r="C17" s="10"/>
      <c r="D17" s="10"/>
      <c r="E17" s="10"/>
      <c r="F17" s="10"/>
      <c r="G17" s="7"/>
      <c r="H17" s="7"/>
      <c r="I17" s="21"/>
      <c r="J17" s="22"/>
      <c r="K17" s="22"/>
      <c r="L17" s="26"/>
      <c r="M17" s="2"/>
      <c r="N17" s="10"/>
      <c r="O17" s="10"/>
      <c r="P17" s="10"/>
      <c r="Q17" s="10"/>
      <c r="R17" s="10"/>
      <c r="S17" s="10"/>
      <c r="T17" s="2"/>
      <c r="U17" s="1"/>
    </row>
    <row r="18" spans="1:21" ht="15.75" thickBot="1">
      <c r="A18" s="16"/>
      <c r="B18" s="197" t="s">
        <v>176</v>
      </c>
      <c r="C18" s="197"/>
      <c r="D18" s="197"/>
      <c r="E18" s="197"/>
      <c r="F18" s="197"/>
      <c r="G18" s="197"/>
      <c r="H18" s="197"/>
      <c r="I18" s="198" t="s">
        <v>177</v>
      </c>
      <c r="J18" s="198"/>
      <c r="K18" s="198"/>
      <c r="L18" s="85" t="s">
        <v>178</v>
      </c>
      <c r="M18" s="199" t="s">
        <v>179</v>
      </c>
      <c r="N18" s="199"/>
      <c r="O18" s="199"/>
      <c r="P18" s="199"/>
      <c r="Q18" s="199"/>
      <c r="R18" s="199" t="s">
        <v>180</v>
      </c>
      <c r="S18" s="199"/>
      <c r="T18" s="199"/>
      <c r="U18" s="1"/>
    </row>
    <row r="19" spans="1:21" s="31" customFormat="1" ht="19.5" customHeight="1">
      <c r="A19" s="28"/>
      <c r="B19" s="200" t="s">
        <v>190</v>
      </c>
      <c r="C19" s="201"/>
      <c r="D19" s="201"/>
      <c r="E19" s="201"/>
      <c r="F19" s="201"/>
      <c r="G19" s="201"/>
      <c r="H19" s="201"/>
      <c r="I19" s="202">
        <v>1</v>
      </c>
      <c r="J19" s="202"/>
      <c r="K19" s="202"/>
      <c r="L19" s="86" t="s">
        <v>178</v>
      </c>
      <c r="M19" s="203"/>
      <c r="N19" s="203"/>
      <c r="O19" s="203"/>
      <c r="P19" s="203"/>
      <c r="Q19" s="203"/>
      <c r="R19" s="203"/>
      <c r="S19" s="203"/>
      <c r="T19" s="204"/>
      <c r="U19" s="30"/>
    </row>
    <row r="20" spans="1:21" s="31" customFormat="1" ht="19.5" customHeight="1">
      <c r="A20" s="28"/>
      <c r="B20" s="189" t="s">
        <v>130</v>
      </c>
      <c r="C20" s="190"/>
      <c r="D20" s="190"/>
      <c r="E20" s="190"/>
      <c r="F20" s="190"/>
      <c r="G20" s="190"/>
      <c r="H20" s="190"/>
      <c r="I20" s="188">
        <v>1</v>
      </c>
      <c r="J20" s="188"/>
      <c r="K20" s="188"/>
      <c r="L20" s="87" t="s">
        <v>178</v>
      </c>
      <c r="M20" s="191"/>
      <c r="N20" s="191"/>
      <c r="O20" s="191"/>
      <c r="P20" s="191"/>
      <c r="Q20" s="191"/>
      <c r="R20" s="191"/>
      <c r="S20" s="191"/>
      <c r="T20" s="192"/>
      <c r="U20" s="30"/>
    </row>
    <row r="21" spans="1:21" ht="27" customHeight="1">
      <c r="A21" s="16"/>
      <c r="B21" s="193" t="s">
        <v>191</v>
      </c>
      <c r="C21" s="194"/>
      <c r="D21" s="194"/>
      <c r="E21" s="194"/>
      <c r="F21" s="194"/>
      <c r="G21" s="194"/>
      <c r="H21" s="194"/>
      <c r="I21" s="188">
        <v>1</v>
      </c>
      <c r="J21" s="188"/>
      <c r="K21" s="188"/>
      <c r="L21" s="87" t="s">
        <v>178</v>
      </c>
      <c r="M21" s="177"/>
      <c r="N21" s="177"/>
      <c r="O21" s="177"/>
      <c r="P21" s="177"/>
      <c r="Q21" s="177"/>
      <c r="R21" s="177"/>
      <c r="S21" s="177"/>
      <c r="T21" s="178"/>
      <c r="U21" s="1"/>
    </row>
    <row r="22" spans="1:21" ht="19.5" customHeight="1">
      <c r="A22" s="16"/>
      <c r="B22" s="193" t="s">
        <v>192</v>
      </c>
      <c r="C22" s="194"/>
      <c r="D22" s="194"/>
      <c r="E22" s="194"/>
      <c r="F22" s="194"/>
      <c r="G22" s="194"/>
      <c r="H22" s="194"/>
      <c r="I22" s="188">
        <v>1</v>
      </c>
      <c r="J22" s="188"/>
      <c r="K22" s="188"/>
      <c r="L22" s="87" t="s">
        <v>178</v>
      </c>
      <c r="M22" s="177"/>
      <c r="N22" s="177"/>
      <c r="O22" s="177"/>
      <c r="P22" s="177"/>
      <c r="Q22" s="177"/>
      <c r="R22" s="177"/>
      <c r="S22" s="177"/>
      <c r="T22" s="178"/>
      <c r="U22" s="1"/>
    </row>
    <row r="23" spans="1:21" ht="19.5" customHeight="1">
      <c r="A23" s="16"/>
      <c r="B23" s="184" t="s">
        <v>193</v>
      </c>
      <c r="C23" s="185"/>
      <c r="D23" s="185"/>
      <c r="E23" s="185"/>
      <c r="F23" s="185"/>
      <c r="G23" s="185"/>
      <c r="H23" s="185"/>
      <c r="I23" s="176">
        <v>1</v>
      </c>
      <c r="J23" s="176"/>
      <c r="K23" s="176"/>
      <c r="L23" s="88" t="s">
        <v>178</v>
      </c>
      <c r="M23" s="177"/>
      <c r="N23" s="177"/>
      <c r="O23" s="177"/>
      <c r="P23" s="177"/>
      <c r="Q23" s="177"/>
      <c r="R23" s="177"/>
      <c r="S23" s="177"/>
      <c r="T23" s="178"/>
      <c r="U23" s="1"/>
    </row>
    <row r="24" spans="1:21" ht="19.5" customHeight="1">
      <c r="A24" s="16"/>
      <c r="B24" s="184" t="s">
        <v>82</v>
      </c>
      <c r="C24" s="185"/>
      <c r="D24" s="185"/>
      <c r="E24" s="185"/>
      <c r="F24" s="185"/>
      <c r="G24" s="185"/>
      <c r="H24" s="185"/>
      <c r="I24" s="176">
        <v>1</v>
      </c>
      <c r="J24" s="176"/>
      <c r="K24" s="176"/>
      <c r="L24" s="88" t="s">
        <v>178</v>
      </c>
      <c r="M24" s="177"/>
      <c r="N24" s="177"/>
      <c r="O24" s="177"/>
      <c r="P24" s="177"/>
      <c r="Q24" s="177"/>
      <c r="R24" s="177"/>
      <c r="S24" s="177"/>
      <c r="T24" s="178"/>
      <c r="U24" s="1"/>
    </row>
    <row r="25" spans="1:21" ht="19.5" customHeight="1">
      <c r="A25" s="16"/>
      <c r="B25" s="184" t="s">
        <v>194</v>
      </c>
      <c r="C25" s="185"/>
      <c r="D25" s="185"/>
      <c r="E25" s="185"/>
      <c r="F25" s="185"/>
      <c r="G25" s="185"/>
      <c r="H25" s="185"/>
      <c r="I25" s="176">
        <v>30</v>
      </c>
      <c r="J25" s="176"/>
      <c r="K25" s="176"/>
      <c r="L25" s="88" t="s">
        <v>178</v>
      </c>
      <c r="M25" s="177"/>
      <c r="N25" s="177"/>
      <c r="O25" s="177"/>
      <c r="P25" s="177"/>
      <c r="Q25" s="177"/>
      <c r="R25" s="177"/>
      <c r="S25" s="177"/>
      <c r="T25" s="178"/>
      <c r="U25" s="1"/>
    </row>
    <row r="26" spans="1:21" ht="19.5" customHeight="1">
      <c r="A26" s="16"/>
      <c r="B26" s="184" t="s">
        <v>195</v>
      </c>
      <c r="C26" s="185"/>
      <c r="D26" s="185"/>
      <c r="E26" s="185"/>
      <c r="F26" s="185"/>
      <c r="G26" s="185"/>
      <c r="H26" s="185"/>
      <c r="I26" s="176">
        <v>15</v>
      </c>
      <c r="J26" s="176"/>
      <c r="K26" s="176"/>
      <c r="L26" s="88" t="s">
        <v>178</v>
      </c>
      <c r="M26" s="177"/>
      <c r="N26" s="177"/>
      <c r="O26" s="177"/>
      <c r="P26" s="177"/>
      <c r="Q26" s="177"/>
      <c r="R26" s="177"/>
      <c r="S26" s="177"/>
      <c r="T26" s="178"/>
      <c r="U26" s="1"/>
    </row>
    <row r="27" spans="1:21" ht="19.5" customHeight="1">
      <c r="A27" s="16"/>
      <c r="B27" s="186" t="s">
        <v>127</v>
      </c>
      <c r="C27" s="187"/>
      <c r="D27" s="187"/>
      <c r="E27" s="187"/>
      <c r="F27" s="187"/>
      <c r="G27" s="187"/>
      <c r="H27" s="187"/>
      <c r="I27" s="188">
        <v>10</v>
      </c>
      <c r="J27" s="188"/>
      <c r="K27" s="188"/>
      <c r="L27" s="87" t="s">
        <v>178</v>
      </c>
      <c r="M27" s="177"/>
      <c r="N27" s="177"/>
      <c r="O27" s="177"/>
      <c r="P27" s="177"/>
      <c r="Q27" s="177"/>
      <c r="R27" s="177"/>
      <c r="S27" s="177"/>
      <c r="T27" s="178"/>
      <c r="U27" s="1"/>
    </row>
    <row r="28" spans="1:21" ht="19.5" customHeight="1">
      <c r="A28" s="16"/>
      <c r="B28" s="186" t="s">
        <v>119</v>
      </c>
      <c r="C28" s="187"/>
      <c r="D28" s="187"/>
      <c r="E28" s="187"/>
      <c r="F28" s="187"/>
      <c r="G28" s="187"/>
      <c r="H28" s="187"/>
      <c r="I28" s="188">
        <v>1</v>
      </c>
      <c r="J28" s="188"/>
      <c r="K28" s="188"/>
      <c r="L28" s="87" t="s">
        <v>178</v>
      </c>
      <c r="M28" s="177"/>
      <c r="N28" s="177"/>
      <c r="O28" s="177"/>
      <c r="P28" s="177"/>
      <c r="Q28" s="177"/>
      <c r="R28" s="177"/>
      <c r="S28" s="177"/>
      <c r="T28" s="178"/>
      <c r="U28" s="1"/>
    </row>
    <row r="29" spans="1:21" ht="19.5" customHeight="1">
      <c r="A29" s="16"/>
      <c r="B29" s="174" t="s">
        <v>117</v>
      </c>
      <c r="C29" s="175"/>
      <c r="D29" s="175"/>
      <c r="E29" s="175"/>
      <c r="F29" s="175"/>
      <c r="G29" s="175"/>
      <c r="H29" s="175"/>
      <c r="I29" s="176">
        <v>1</v>
      </c>
      <c r="J29" s="176"/>
      <c r="K29" s="176"/>
      <c r="L29" s="32" t="s">
        <v>178</v>
      </c>
      <c r="M29" s="177"/>
      <c r="N29" s="177"/>
      <c r="O29" s="177"/>
      <c r="P29" s="177"/>
      <c r="Q29" s="177"/>
      <c r="R29" s="177"/>
      <c r="S29" s="177"/>
      <c r="T29" s="178"/>
      <c r="U29" s="1"/>
    </row>
    <row r="30" spans="1:21" ht="19.5" customHeight="1">
      <c r="A30" s="16"/>
      <c r="B30" s="174" t="s">
        <v>196</v>
      </c>
      <c r="C30" s="175"/>
      <c r="D30" s="175"/>
      <c r="E30" s="175"/>
      <c r="F30" s="175"/>
      <c r="G30" s="175"/>
      <c r="H30" s="175"/>
      <c r="I30" s="176">
        <v>1</v>
      </c>
      <c r="J30" s="176"/>
      <c r="K30" s="176"/>
      <c r="L30" s="32" t="s">
        <v>178</v>
      </c>
      <c r="M30" s="177"/>
      <c r="N30" s="177"/>
      <c r="O30" s="177"/>
      <c r="P30" s="177"/>
      <c r="Q30" s="177"/>
      <c r="R30" s="177"/>
      <c r="S30" s="177"/>
      <c r="T30" s="178"/>
      <c r="U30" s="1"/>
    </row>
    <row r="31" spans="1:21" ht="19.5" customHeight="1">
      <c r="A31" s="16"/>
      <c r="B31" s="174" t="s">
        <v>122</v>
      </c>
      <c r="C31" s="175"/>
      <c r="D31" s="175"/>
      <c r="E31" s="175"/>
      <c r="F31" s="175"/>
      <c r="G31" s="175"/>
      <c r="H31" s="175"/>
      <c r="I31" s="176">
        <v>40</v>
      </c>
      <c r="J31" s="176"/>
      <c r="K31" s="176"/>
      <c r="L31" s="32" t="s">
        <v>178</v>
      </c>
      <c r="M31" s="177"/>
      <c r="N31" s="177"/>
      <c r="O31" s="177"/>
      <c r="P31" s="177"/>
      <c r="Q31" s="177"/>
      <c r="R31" s="177"/>
      <c r="S31" s="177"/>
      <c r="T31" s="178"/>
      <c r="U31" s="1"/>
    </row>
    <row r="32" spans="1:21" ht="19.5" customHeight="1">
      <c r="A32" s="16"/>
      <c r="B32" s="174" t="s">
        <v>197</v>
      </c>
      <c r="C32" s="175"/>
      <c r="D32" s="175"/>
      <c r="E32" s="175"/>
      <c r="F32" s="175"/>
      <c r="G32" s="175"/>
      <c r="H32" s="175"/>
      <c r="I32" s="176">
        <v>1</v>
      </c>
      <c r="J32" s="176"/>
      <c r="K32" s="176"/>
      <c r="L32" s="32" t="s">
        <v>178</v>
      </c>
      <c r="M32" s="177"/>
      <c r="N32" s="177"/>
      <c r="O32" s="177"/>
      <c r="P32" s="177"/>
      <c r="Q32" s="177"/>
      <c r="R32" s="177"/>
      <c r="S32" s="177"/>
      <c r="T32" s="178"/>
      <c r="U32" s="1"/>
    </row>
    <row r="33" spans="1:21" ht="19.5" customHeight="1">
      <c r="A33" s="16"/>
      <c r="B33" s="174" t="s">
        <v>44</v>
      </c>
      <c r="C33" s="175"/>
      <c r="D33" s="175"/>
      <c r="E33" s="175"/>
      <c r="F33" s="175"/>
      <c r="G33" s="175"/>
      <c r="H33" s="175"/>
      <c r="I33" s="176">
        <v>2</v>
      </c>
      <c r="J33" s="176"/>
      <c r="K33" s="176"/>
      <c r="L33" s="32" t="s">
        <v>178</v>
      </c>
      <c r="M33" s="177"/>
      <c r="N33" s="177"/>
      <c r="O33" s="177"/>
      <c r="P33" s="177"/>
      <c r="Q33" s="177"/>
      <c r="R33" s="177"/>
      <c r="S33" s="177"/>
      <c r="T33" s="178"/>
      <c r="U33" s="1"/>
    </row>
    <row r="34" spans="1:21" ht="19.5" customHeight="1">
      <c r="A34" s="16"/>
      <c r="B34" s="174" t="s">
        <v>49</v>
      </c>
      <c r="C34" s="175"/>
      <c r="D34" s="175"/>
      <c r="E34" s="175"/>
      <c r="F34" s="175"/>
      <c r="G34" s="175"/>
      <c r="H34" s="175"/>
      <c r="I34" s="176">
        <v>50</v>
      </c>
      <c r="J34" s="176"/>
      <c r="K34" s="176"/>
      <c r="L34" s="32" t="s">
        <v>178</v>
      </c>
      <c r="M34" s="177"/>
      <c r="N34" s="177"/>
      <c r="O34" s="177"/>
      <c r="P34" s="177"/>
      <c r="Q34" s="177"/>
      <c r="R34" s="177"/>
      <c r="S34" s="177"/>
      <c r="T34" s="178"/>
      <c r="U34" s="1"/>
    </row>
    <row r="35" spans="1:21" ht="19.5" customHeight="1">
      <c r="A35" s="16"/>
      <c r="B35" s="174" t="s">
        <v>198</v>
      </c>
      <c r="C35" s="175"/>
      <c r="D35" s="175"/>
      <c r="E35" s="175"/>
      <c r="F35" s="175"/>
      <c r="G35" s="175"/>
      <c r="H35" s="175"/>
      <c r="I35" s="176">
        <v>10</v>
      </c>
      <c r="J35" s="176"/>
      <c r="K35" s="176"/>
      <c r="L35" s="32" t="s">
        <v>178</v>
      </c>
      <c r="M35" s="177"/>
      <c r="N35" s="177"/>
      <c r="O35" s="177"/>
      <c r="P35" s="177"/>
      <c r="Q35" s="177"/>
      <c r="R35" s="177"/>
      <c r="S35" s="177"/>
      <c r="T35" s="178"/>
      <c r="U35" s="1"/>
    </row>
    <row r="36" spans="1:21" ht="19.5" customHeight="1">
      <c r="A36" s="16"/>
      <c r="B36" s="174" t="s">
        <v>199</v>
      </c>
      <c r="C36" s="175"/>
      <c r="D36" s="175"/>
      <c r="E36" s="175"/>
      <c r="F36" s="175"/>
      <c r="G36" s="175"/>
      <c r="H36" s="175"/>
      <c r="I36" s="176">
        <v>7</v>
      </c>
      <c r="J36" s="176"/>
      <c r="K36" s="176"/>
      <c r="L36" s="32" t="s">
        <v>178</v>
      </c>
      <c r="M36" s="177"/>
      <c r="N36" s="177"/>
      <c r="O36" s="177"/>
      <c r="P36" s="177"/>
      <c r="Q36" s="177"/>
      <c r="R36" s="177"/>
      <c r="S36" s="177"/>
      <c r="T36" s="178"/>
      <c r="U36" s="1"/>
    </row>
    <row r="37" spans="1:21" ht="19.5" customHeight="1">
      <c r="A37" s="16"/>
      <c r="B37" s="174" t="s">
        <v>200</v>
      </c>
      <c r="C37" s="175"/>
      <c r="D37" s="175"/>
      <c r="E37" s="175"/>
      <c r="F37" s="175"/>
      <c r="G37" s="175"/>
      <c r="H37" s="175"/>
      <c r="I37" s="176">
        <v>1</v>
      </c>
      <c r="J37" s="176"/>
      <c r="K37" s="176"/>
      <c r="L37" s="32" t="s">
        <v>178</v>
      </c>
      <c r="M37" s="177"/>
      <c r="N37" s="177"/>
      <c r="O37" s="177"/>
      <c r="P37" s="177"/>
      <c r="Q37" s="177"/>
      <c r="R37" s="177"/>
      <c r="S37" s="177"/>
      <c r="T37" s="178"/>
      <c r="U37" s="1"/>
    </row>
    <row r="38" spans="1:21" ht="19.5" customHeight="1" thickBot="1">
      <c r="A38" s="16"/>
      <c r="B38" s="179" t="s">
        <v>201</v>
      </c>
      <c r="C38" s="180"/>
      <c r="D38" s="180"/>
      <c r="E38" s="180"/>
      <c r="F38" s="180"/>
      <c r="G38" s="180"/>
      <c r="H38" s="180"/>
      <c r="I38" s="181">
        <v>1</v>
      </c>
      <c r="J38" s="181"/>
      <c r="K38" s="181"/>
      <c r="L38" s="89" t="s">
        <v>178</v>
      </c>
      <c r="M38" s="182"/>
      <c r="N38" s="182"/>
      <c r="O38" s="182"/>
      <c r="P38" s="182"/>
      <c r="Q38" s="182"/>
      <c r="R38" s="182"/>
      <c r="S38" s="182"/>
      <c r="T38" s="183"/>
      <c r="U38" s="1"/>
    </row>
    <row r="39" spans="1:21" ht="47.25" customHeight="1">
      <c r="A39" s="16"/>
      <c r="B39" s="165"/>
      <c r="C39" s="166"/>
      <c r="D39" s="166"/>
      <c r="E39" s="167"/>
      <c r="F39" s="168" t="s">
        <v>183</v>
      </c>
      <c r="G39" s="168"/>
      <c r="H39" s="168"/>
      <c r="I39" s="168"/>
      <c r="J39" s="168"/>
      <c r="K39" s="168"/>
      <c r="L39" s="168"/>
      <c r="M39" s="168"/>
      <c r="N39" s="168"/>
      <c r="O39" s="168"/>
      <c r="P39" s="169"/>
      <c r="Q39" s="129"/>
      <c r="R39" s="129"/>
      <c r="S39" s="129"/>
      <c r="T39" s="170"/>
      <c r="U39" s="1"/>
    </row>
    <row r="40" spans="1:21" ht="13.5" customHeight="1">
      <c r="A40" s="16"/>
      <c r="B40" s="171"/>
      <c r="C40" s="172"/>
      <c r="D40" s="172"/>
      <c r="E40" s="172"/>
      <c r="F40" s="172"/>
      <c r="G40" s="173"/>
      <c r="H40" s="107" t="s">
        <v>184</v>
      </c>
      <c r="I40" s="107"/>
      <c r="J40" s="107"/>
      <c r="K40" s="107"/>
      <c r="L40" s="107"/>
      <c r="M40" s="107"/>
      <c r="N40" s="107"/>
      <c r="O40" s="107"/>
      <c r="P40" s="104"/>
      <c r="Q40" s="105"/>
      <c r="R40" s="105"/>
      <c r="S40" s="105"/>
      <c r="T40" s="106"/>
      <c r="U40" s="1"/>
    </row>
    <row r="41" spans="1:21" ht="15" customHeight="1">
      <c r="B41" s="96" t="s">
        <v>185</v>
      </c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7"/>
    </row>
    <row r="42" spans="1:21">
      <c r="A42" s="17"/>
      <c r="B42" s="98"/>
      <c r="C42" s="98"/>
      <c r="D42" s="98"/>
      <c r="E42" s="98"/>
      <c r="F42" s="98"/>
      <c r="G42" s="98"/>
      <c r="H42" s="98"/>
      <c r="I42" s="98"/>
      <c r="J42" s="98"/>
      <c r="K42" s="98"/>
      <c r="L42" s="98"/>
      <c r="M42" s="98"/>
      <c r="N42" s="98"/>
      <c r="O42" s="98"/>
      <c r="P42" s="98"/>
      <c r="Q42" s="98"/>
      <c r="R42" s="98"/>
      <c r="S42" s="98"/>
      <c r="T42" s="98"/>
      <c r="U42" s="99"/>
    </row>
    <row r="44" spans="1:21">
      <c r="A44" t="s">
        <v>186</v>
      </c>
    </row>
  </sheetData>
  <mergeCells count="117">
    <mergeCell ref="B36:H36"/>
    <mergeCell ref="I36:K36"/>
    <mergeCell ref="M36:Q36"/>
    <mergeCell ref="R36:T36"/>
    <mergeCell ref="B37:H37"/>
    <mergeCell ref="I37:K37"/>
    <mergeCell ref="M37:Q37"/>
    <mergeCell ref="R37:T37"/>
    <mergeCell ref="B34:H34"/>
    <mergeCell ref="I34:K34"/>
    <mergeCell ref="M34:Q34"/>
    <mergeCell ref="R34:T34"/>
    <mergeCell ref="B35:H35"/>
    <mergeCell ref="I35:K35"/>
    <mergeCell ref="M35:Q35"/>
    <mergeCell ref="R35:T35"/>
    <mergeCell ref="I32:K32"/>
    <mergeCell ref="M32:Q32"/>
    <mergeCell ref="R32:T32"/>
    <mergeCell ref="B33:H33"/>
    <mergeCell ref="I33:K33"/>
    <mergeCell ref="M33:Q33"/>
    <mergeCell ref="R33:T33"/>
    <mergeCell ref="A5:C5"/>
    <mergeCell ref="D5:K5"/>
    <mergeCell ref="L5:P5"/>
    <mergeCell ref="Q5:U5"/>
    <mergeCell ref="B14:I14"/>
    <mergeCell ref="K14:S14"/>
    <mergeCell ref="B15:I15"/>
    <mergeCell ref="B16:I16"/>
    <mergeCell ref="B18:H18"/>
    <mergeCell ref="I18:K18"/>
    <mergeCell ref="M18:Q18"/>
    <mergeCell ref="R18:T18"/>
    <mergeCell ref="B19:H19"/>
    <mergeCell ref="I19:K19"/>
    <mergeCell ref="M19:Q19"/>
    <mergeCell ref="R19:T19"/>
    <mergeCell ref="A1:C3"/>
    <mergeCell ref="D1:U1"/>
    <mergeCell ref="D2:U2"/>
    <mergeCell ref="D3:U4"/>
    <mergeCell ref="A4:C4"/>
    <mergeCell ref="B13:I13"/>
    <mergeCell ref="K13:S13"/>
    <mergeCell ref="B7:I7"/>
    <mergeCell ref="B8:I8"/>
    <mergeCell ref="B9:I9"/>
    <mergeCell ref="K9:S9"/>
    <mergeCell ref="B10:I10"/>
    <mergeCell ref="K10:S10"/>
    <mergeCell ref="B11:F11"/>
    <mergeCell ref="G11:I11"/>
    <mergeCell ref="K11:S11"/>
    <mergeCell ref="B12:I12"/>
    <mergeCell ref="K12:S12"/>
    <mergeCell ref="B20:H20"/>
    <mergeCell ref="I20:K20"/>
    <mergeCell ref="M20:Q20"/>
    <mergeCell ref="R20:T20"/>
    <mergeCell ref="B21:H21"/>
    <mergeCell ref="I21:K21"/>
    <mergeCell ref="M21:Q21"/>
    <mergeCell ref="R21:T21"/>
    <mergeCell ref="B22:H22"/>
    <mergeCell ref="I22:K22"/>
    <mergeCell ref="M22:Q22"/>
    <mergeCell ref="R22:T22"/>
    <mergeCell ref="B23:H23"/>
    <mergeCell ref="I23:K23"/>
    <mergeCell ref="M23:Q23"/>
    <mergeCell ref="R23:T23"/>
    <mergeCell ref="B24:H24"/>
    <mergeCell ref="I24:K24"/>
    <mergeCell ref="M24:Q24"/>
    <mergeCell ref="R24:T24"/>
    <mergeCell ref="B25:H25"/>
    <mergeCell ref="I25:K25"/>
    <mergeCell ref="M25:Q25"/>
    <mergeCell ref="R25:T25"/>
    <mergeCell ref="B26:H26"/>
    <mergeCell ref="I26:K26"/>
    <mergeCell ref="M26:Q26"/>
    <mergeCell ref="R26:T26"/>
    <mergeCell ref="B27:H27"/>
    <mergeCell ref="I27:K27"/>
    <mergeCell ref="M27:Q27"/>
    <mergeCell ref="R27:T27"/>
    <mergeCell ref="B28:H28"/>
    <mergeCell ref="I28:K28"/>
    <mergeCell ref="M28:Q28"/>
    <mergeCell ref="R28:T28"/>
    <mergeCell ref="B41:U42"/>
    <mergeCell ref="B39:E39"/>
    <mergeCell ref="F39:O39"/>
    <mergeCell ref="P39:T39"/>
    <mergeCell ref="B40:G40"/>
    <mergeCell ref="H40:O40"/>
    <mergeCell ref="P40:T40"/>
    <mergeCell ref="B29:H29"/>
    <mergeCell ref="I29:K29"/>
    <mergeCell ref="M29:Q29"/>
    <mergeCell ref="R29:T29"/>
    <mergeCell ref="B38:H38"/>
    <mergeCell ref="I38:K38"/>
    <mergeCell ref="M38:Q38"/>
    <mergeCell ref="R38:T38"/>
    <mergeCell ref="B30:H30"/>
    <mergeCell ref="I30:K30"/>
    <mergeCell ref="M30:Q30"/>
    <mergeCell ref="R30:T30"/>
    <mergeCell ref="B31:H31"/>
    <mergeCell ref="I31:K31"/>
    <mergeCell ref="M31:Q31"/>
    <mergeCell ref="R31:T31"/>
    <mergeCell ref="B32:H32"/>
  </mergeCells>
  <phoneticPr fontId="23" type="noConversion"/>
  <printOptions horizontalCentered="1"/>
  <pageMargins left="0.70866141732283472" right="0.70866141732283472" top="0.74803149606299213" bottom="0.74803149606299213" header="0.31496062992125984" footer="0.31496062992125984"/>
  <pageSetup scale="7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65272-D76D-49EB-987C-363636C3CA0B}">
  <sheetPr>
    <tabColor theme="0"/>
    <pageSetUpPr fitToPage="1"/>
  </sheetPr>
  <dimension ref="A1:X35"/>
  <sheetViews>
    <sheetView view="pageBreakPreview" topLeftCell="A19" zoomScale="90" zoomScaleNormal="100" zoomScaleSheetLayoutView="90" workbookViewId="0">
      <selection activeCell="K14" sqref="K14:S14"/>
    </sheetView>
  </sheetViews>
  <sheetFormatPr defaultColWidth="10.7109375" defaultRowHeight="15"/>
  <cols>
    <col min="1" max="1" width="2" customWidth="1"/>
    <col min="2" max="2" width="6.28515625" customWidth="1"/>
    <col min="3" max="3" width="5.7109375" customWidth="1"/>
    <col min="4" max="4" width="11.85546875" customWidth="1"/>
    <col min="5" max="5" width="3.5703125" customWidth="1"/>
    <col min="6" max="6" width="2.85546875" customWidth="1"/>
    <col min="7" max="7" width="3.28515625" customWidth="1"/>
    <col min="8" max="8" width="25.7109375" customWidth="1"/>
    <col min="9" max="9" width="5.85546875" style="20" customWidth="1"/>
    <col min="10" max="10" width="4.85546875" style="20" customWidth="1"/>
    <col min="11" max="11" width="2.5703125" style="20" customWidth="1"/>
    <col min="12" max="12" width="14" style="19" customWidth="1"/>
    <col min="13" max="13" width="1.85546875" customWidth="1"/>
    <col min="14" max="14" width="2.28515625" customWidth="1"/>
    <col min="15" max="15" width="1.85546875" customWidth="1"/>
    <col min="16" max="16" width="2.7109375" customWidth="1"/>
    <col min="17" max="17" width="6.140625" customWidth="1"/>
    <col min="18" max="18" width="3.85546875" customWidth="1"/>
    <col min="19" max="19" width="4" customWidth="1"/>
    <col min="20" max="20" width="3.28515625" customWidth="1"/>
    <col min="21" max="21" width="1.7109375" customWidth="1"/>
  </cols>
  <sheetData>
    <row r="1" spans="1:21">
      <c r="A1" s="149"/>
      <c r="B1" s="149"/>
      <c r="C1" s="149"/>
      <c r="D1" s="150" t="s">
        <v>153</v>
      </c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</row>
    <row r="2" spans="1:21">
      <c r="A2" s="149"/>
      <c r="B2" s="149"/>
      <c r="C2" s="149"/>
      <c r="D2" s="150" t="s">
        <v>154</v>
      </c>
      <c r="E2" s="150"/>
      <c r="F2" s="150"/>
      <c r="G2" s="150"/>
      <c r="H2" s="150"/>
      <c r="I2" s="150"/>
      <c r="J2" s="150"/>
      <c r="K2" s="150"/>
      <c r="L2" s="150"/>
      <c r="M2" s="150"/>
      <c r="N2" s="150"/>
      <c r="O2" s="150"/>
      <c r="P2" s="150"/>
      <c r="Q2" s="150"/>
      <c r="R2" s="150"/>
      <c r="S2" s="150"/>
      <c r="T2" s="150"/>
      <c r="U2" s="150"/>
    </row>
    <row r="3" spans="1:21">
      <c r="A3" s="149"/>
      <c r="B3" s="149"/>
      <c r="C3" s="149"/>
      <c r="D3" s="150" t="s">
        <v>155</v>
      </c>
      <c r="E3" s="150"/>
      <c r="F3" s="150"/>
      <c r="G3" s="150"/>
      <c r="H3" s="150"/>
      <c r="I3" s="150"/>
      <c r="J3" s="150"/>
      <c r="K3" s="150"/>
      <c r="L3" s="150"/>
      <c r="M3" s="150"/>
      <c r="N3" s="150"/>
      <c r="O3" s="150"/>
      <c r="P3" s="150"/>
      <c r="Q3" s="150"/>
      <c r="R3" s="150"/>
      <c r="S3" s="150"/>
      <c r="T3" s="150"/>
      <c r="U3" s="150"/>
    </row>
    <row r="4" spans="1:21">
      <c r="A4" s="151" t="s">
        <v>156</v>
      </c>
      <c r="B4" s="151"/>
      <c r="C4" s="151"/>
      <c r="D4" s="150"/>
      <c r="E4" s="150"/>
      <c r="F4" s="150"/>
      <c r="G4" s="150"/>
      <c r="H4" s="150"/>
      <c r="I4" s="150"/>
      <c r="J4" s="150"/>
      <c r="K4" s="150"/>
      <c r="L4" s="150"/>
      <c r="M4" s="150"/>
      <c r="N4" s="150"/>
      <c r="O4" s="150"/>
      <c r="P4" s="150"/>
      <c r="Q4" s="150"/>
      <c r="R4" s="150"/>
      <c r="S4" s="150"/>
      <c r="T4" s="150"/>
      <c r="U4" s="150"/>
    </row>
    <row r="5" spans="1:21" ht="21" customHeight="1">
      <c r="A5" s="141"/>
      <c r="B5" s="142"/>
      <c r="C5" s="143"/>
      <c r="D5" s="144" t="s">
        <v>157</v>
      </c>
      <c r="E5" s="145"/>
      <c r="F5" s="145"/>
      <c r="G5" s="145"/>
      <c r="H5" s="145"/>
      <c r="I5" s="145"/>
      <c r="J5" s="145"/>
      <c r="K5" s="145"/>
      <c r="L5" s="146" t="s">
        <v>158</v>
      </c>
      <c r="M5" s="146"/>
      <c r="N5" s="146"/>
      <c r="O5" s="146"/>
      <c r="P5" s="146"/>
      <c r="Q5" s="147" t="s">
        <v>159</v>
      </c>
      <c r="R5" s="147"/>
      <c r="S5" s="147"/>
      <c r="T5" s="147"/>
      <c r="U5" s="148"/>
    </row>
    <row r="6" spans="1:21">
      <c r="A6" s="14"/>
      <c r="B6" s="15"/>
      <c r="C6" s="15"/>
      <c r="U6" s="1"/>
    </row>
    <row r="7" spans="1:21">
      <c r="A7" s="16"/>
      <c r="B7" s="126" t="s">
        <v>160</v>
      </c>
      <c r="C7" s="127"/>
      <c r="D7" s="127"/>
      <c r="E7" s="127"/>
      <c r="F7" s="127"/>
      <c r="G7" s="127"/>
      <c r="H7" s="127"/>
      <c r="I7" s="128"/>
      <c r="J7" s="22"/>
      <c r="K7" s="22"/>
      <c r="U7" s="1"/>
    </row>
    <row r="8" spans="1:21">
      <c r="A8" s="16"/>
      <c r="B8" s="208" t="s">
        <v>161</v>
      </c>
      <c r="C8" s="208"/>
      <c r="D8" s="208"/>
      <c r="E8" s="208"/>
      <c r="F8" s="208"/>
      <c r="G8" s="208"/>
      <c r="H8" s="208"/>
      <c r="I8" s="208"/>
      <c r="J8" s="23"/>
      <c r="K8" s="23"/>
      <c r="L8" s="25"/>
      <c r="M8" s="3"/>
      <c r="N8" s="3"/>
      <c r="O8" s="3"/>
      <c r="P8" s="3"/>
      <c r="Q8" s="3"/>
      <c r="R8" s="3"/>
      <c r="S8" s="3"/>
      <c r="T8" s="3"/>
      <c r="U8" s="4"/>
    </row>
    <row r="9" spans="1:21">
      <c r="A9" s="16"/>
      <c r="B9" s="208" t="s">
        <v>162</v>
      </c>
      <c r="C9" s="208"/>
      <c r="D9" s="208"/>
      <c r="E9" s="208"/>
      <c r="F9" s="208"/>
      <c r="G9" s="208"/>
      <c r="H9" s="208"/>
      <c r="I9" s="208"/>
      <c r="J9" s="23"/>
      <c r="K9" s="129" t="s">
        <v>163</v>
      </c>
      <c r="L9" s="129"/>
      <c r="M9" s="129"/>
      <c r="N9" s="129"/>
      <c r="O9" s="129"/>
      <c r="P9" s="129"/>
      <c r="Q9" s="129"/>
      <c r="R9" s="129"/>
      <c r="S9" s="129"/>
      <c r="T9" s="3"/>
      <c r="U9" s="4"/>
    </row>
    <row r="10" spans="1:21">
      <c r="A10" s="16"/>
      <c r="B10" s="208" t="s">
        <v>164</v>
      </c>
      <c r="C10" s="208"/>
      <c r="D10" s="208"/>
      <c r="E10" s="208"/>
      <c r="F10" s="208"/>
      <c r="G10" s="208"/>
      <c r="H10" s="208"/>
      <c r="I10" s="208"/>
      <c r="J10" s="22"/>
      <c r="K10" s="130" t="s">
        <v>165</v>
      </c>
      <c r="L10" s="130"/>
      <c r="M10" s="130"/>
      <c r="N10" s="130"/>
      <c r="O10" s="130"/>
      <c r="P10" s="130"/>
      <c r="Q10" s="130"/>
      <c r="R10" s="130"/>
      <c r="S10" s="130"/>
      <c r="T10" s="2"/>
      <c r="U10" s="1"/>
    </row>
    <row r="11" spans="1:21" ht="35.25" customHeight="1">
      <c r="A11" s="5"/>
      <c r="B11" s="131" t="s">
        <v>202</v>
      </c>
      <c r="C11" s="132"/>
      <c r="D11" s="132"/>
      <c r="E11" s="132"/>
      <c r="F11" s="133"/>
      <c r="G11" s="138" t="s">
        <v>203</v>
      </c>
      <c r="H11" s="124"/>
      <c r="I11" s="125"/>
      <c r="J11" s="23"/>
      <c r="K11" s="135" t="s">
        <v>167</v>
      </c>
      <c r="L11" s="136"/>
      <c r="M11" s="136"/>
      <c r="N11" s="136"/>
      <c r="O11" s="136"/>
      <c r="P11" s="136"/>
      <c r="Q11" s="136"/>
      <c r="R11" s="136"/>
      <c r="S11" s="137"/>
      <c r="T11" s="12"/>
      <c r="U11" s="6"/>
    </row>
    <row r="12" spans="1:21" ht="15" customHeight="1">
      <c r="A12" s="5"/>
      <c r="B12" s="138" t="s">
        <v>168</v>
      </c>
      <c r="C12" s="139"/>
      <c r="D12" s="139"/>
      <c r="E12" s="139"/>
      <c r="F12" s="139"/>
      <c r="G12" s="139"/>
      <c r="H12" s="139"/>
      <c r="I12" s="140"/>
      <c r="J12" s="23"/>
      <c r="K12" s="113" t="s">
        <v>169</v>
      </c>
      <c r="L12" s="114"/>
      <c r="M12" s="114"/>
      <c r="N12" s="114"/>
      <c r="O12" s="114"/>
      <c r="P12" s="114"/>
      <c r="Q12" s="114"/>
      <c r="R12" s="114"/>
      <c r="S12" s="115"/>
      <c r="T12" s="12"/>
      <c r="U12" s="6"/>
    </row>
    <row r="13" spans="1:21">
      <c r="A13" s="5"/>
      <c r="B13" s="123" t="s">
        <v>170</v>
      </c>
      <c r="C13" s="124"/>
      <c r="D13" s="124"/>
      <c r="E13" s="124"/>
      <c r="F13" s="124"/>
      <c r="G13" s="124"/>
      <c r="H13" s="124"/>
      <c r="I13" s="125"/>
      <c r="J13" s="24"/>
      <c r="K13" s="113" t="s">
        <v>204</v>
      </c>
      <c r="L13" s="114"/>
      <c r="M13" s="114"/>
      <c r="N13" s="114"/>
      <c r="O13" s="114"/>
      <c r="P13" s="114"/>
      <c r="Q13" s="114"/>
      <c r="R13" s="114"/>
      <c r="S13" s="115"/>
      <c r="T13" s="3"/>
      <c r="U13" s="4"/>
    </row>
    <row r="14" spans="1:21" ht="30" customHeight="1">
      <c r="A14" s="5"/>
      <c r="B14" s="110" t="s">
        <v>172</v>
      </c>
      <c r="C14" s="111"/>
      <c r="D14" s="111"/>
      <c r="E14" s="111"/>
      <c r="F14" s="111"/>
      <c r="G14" s="111"/>
      <c r="H14" s="111"/>
      <c r="I14" s="112"/>
      <c r="J14" s="21"/>
      <c r="K14" s="113" t="s">
        <v>205</v>
      </c>
      <c r="L14" s="114"/>
      <c r="M14" s="114"/>
      <c r="N14" s="114"/>
      <c r="O14" s="114"/>
      <c r="P14" s="114"/>
      <c r="Q14" s="114"/>
      <c r="R14" s="114"/>
      <c r="S14" s="115"/>
      <c r="T14" s="7"/>
      <c r="U14" s="8"/>
    </row>
    <row r="15" spans="1:21" ht="15" customHeight="1">
      <c r="A15" s="5"/>
      <c r="B15" s="116" t="s">
        <v>174</v>
      </c>
      <c r="C15" s="117"/>
      <c r="D15" s="117"/>
      <c r="E15" s="117"/>
      <c r="F15" s="117"/>
      <c r="G15" s="117"/>
      <c r="H15" s="117"/>
      <c r="I15" s="118"/>
      <c r="J15" s="21"/>
      <c r="K15" s="23"/>
      <c r="L15" s="25"/>
      <c r="M15" s="13"/>
      <c r="N15" s="13"/>
      <c r="O15" s="13"/>
      <c r="P15" s="13"/>
      <c r="Q15" s="13"/>
      <c r="R15" s="13"/>
      <c r="S15" s="13"/>
      <c r="T15" s="7"/>
      <c r="U15" s="8"/>
    </row>
    <row r="16" spans="1:21">
      <c r="A16" s="9"/>
      <c r="B16" s="119" t="s">
        <v>175</v>
      </c>
      <c r="C16" s="120"/>
      <c r="D16" s="120"/>
      <c r="E16" s="120"/>
      <c r="F16" s="120"/>
      <c r="G16" s="120"/>
      <c r="H16" s="120"/>
      <c r="I16" s="121"/>
      <c r="J16" s="22"/>
      <c r="K16" s="22"/>
      <c r="L16" s="26"/>
      <c r="M16" s="2"/>
      <c r="N16" s="10"/>
      <c r="O16" s="10"/>
      <c r="P16" s="10"/>
      <c r="Q16" s="10"/>
      <c r="R16" s="10"/>
      <c r="S16" s="10"/>
      <c r="T16" s="2"/>
      <c r="U16" s="1"/>
    </row>
    <row r="17" spans="1:24">
      <c r="A17" s="16"/>
      <c r="B17" s="11"/>
      <c r="C17" s="11"/>
      <c r="D17" s="11"/>
      <c r="E17" s="11"/>
      <c r="F17" s="11"/>
      <c r="G17" s="7"/>
      <c r="H17" s="7"/>
      <c r="I17" s="21"/>
      <c r="J17" s="22"/>
      <c r="K17" s="22"/>
      <c r="L17" s="26"/>
      <c r="M17" s="2"/>
      <c r="N17" s="10"/>
      <c r="O17" s="10"/>
      <c r="P17" s="10"/>
      <c r="Q17" s="10"/>
      <c r="R17" s="10"/>
      <c r="S17" s="10"/>
      <c r="T17" s="2"/>
      <c r="U17" s="1"/>
    </row>
    <row r="18" spans="1:24">
      <c r="A18" s="16"/>
      <c r="B18" s="209" t="s">
        <v>176</v>
      </c>
      <c r="C18" s="209"/>
      <c r="D18" s="209"/>
      <c r="E18" s="209"/>
      <c r="F18" s="209"/>
      <c r="G18" s="209"/>
      <c r="H18" s="209"/>
      <c r="I18" s="122" t="s">
        <v>177</v>
      </c>
      <c r="J18" s="122"/>
      <c r="K18" s="122"/>
      <c r="L18" s="18" t="s">
        <v>178</v>
      </c>
      <c r="M18" s="95" t="s">
        <v>179</v>
      </c>
      <c r="N18" s="95"/>
      <c r="O18" s="95"/>
      <c r="P18" s="95"/>
      <c r="Q18" s="95"/>
      <c r="R18" s="95" t="s">
        <v>180</v>
      </c>
      <c r="S18" s="95"/>
      <c r="T18" s="95"/>
      <c r="U18" s="1"/>
    </row>
    <row r="19" spans="1:24" s="31" customFormat="1" ht="27" customHeight="1">
      <c r="A19" s="28"/>
      <c r="B19" s="205" t="s">
        <v>49</v>
      </c>
      <c r="C19" s="206"/>
      <c r="D19" s="206"/>
      <c r="E19" s="206"/>
      <c r="F19" s="206"/>
      <c r="G19" s="206"/>
      <c r="H19" s="207"/>
      <c r="I19" s="160">
        <v>24</v>
      </c>
      <c r="J19" s="156"/>
      <c r="K19" s="157"/>
      <c r="L19" s="29" t="s">
        <v>41</v>
      </c>
      <c r="M19" s="158"/>
      <c r="N19" s="158"/>
      <c r="O19" s="158"/>
      <c r="P19" s="158"/>
      <c r="Q19" s="158"/>
      <c r="R19" s="158"/>
      <c r="S19" s="158"/>
      <c r="T19" s="158"/>
      <c r="U19" s="30"/>
      <c r="V19" s="160"/>
      <c r="W19" s="156"/>
      <c r="X19" s="157"/>
    </row>
    <row r="20" spans="1:24" s="34" customFormat="1" ht="24" customHeight="1">
      <c r="A20" s="69"/>
      <c r="B20" s="159" t="s">
        <v>61</v>
      </c>
      <c r="C20" s="159"/>
      <c r="D20" s="159"/>
      <c r="E20" s="159"/>
      <c r="F20" s="159"/>
      <c r="G20" s="159"/>
      <c r="H20" s="159"/>
      <c r="I20" s="160">
        <v>5</v>
      </c>
      <c r="J20" s="156"/>
      <c r="K20" s="157"/>
      <c r="L20" s="29" t="s">
        <v>41</v>
      </c>
      <c r="M20" s="158"/>
      <c r="N20" s="158"/>
      <c r="O20" s="158"/>
      <c r="P20" s="158"/>
      <c r="Q20" s="158"/>
      <c r="R20" s="158"/>
      <c r="S20" s="158"/>
      <c r="T20" s="158"/>
      <c r="U20" s="70"/>
      <c r="V20" s="160"/>
      <c r="W20" s="156"/>
      <c r="X20" s="157"/>
    </row>
    <row r="21" spans="1:24" ht="19.5" customHeight="1">
      <c r="A21" s="16"/>
      <c r="B21" s="91" t="s">
        <v>70</v>
      </c>
      <c r="C21" s="91"/>
      <c r="D21" s="91"/>
      <c r="E21" s="91"/>
      <c r="F21" s="91"/>
      <c r="G21" s="91"/>
      <c r="H21" s="91"/>
      <c r="I21" s="92">
        <v>1</v>
      </c>
      <c r="J21" s="93"/>
      <c r="K21" s="94"/>
      <c r="L21" s="27" t="s">
        <v>41</v>
      </c>
      <c r="M21" s="95"/>
      <c r="N21" s="95"/>
      <c r="O21" s="95"/>
      <c r="P21" s="95"/>
      <c r="Q21" s="95"/>
      <c r="R21" s="95"/>
      <c r="S21" s="95"/>
      <c r="T21" s="95"/>
      <c r="U21" s="1"/>
      <c r="V21" s="92"/>
      <c r="W21" s="93"/>
      <c r="X21" s="94"/>
    </row>
    <row r="22" spans="1:24" ht="19.5" customHeight="1">
      <c r="A22" s="16"/>
      <c r="B22" s="91" t="s">
        <v>71</v>
      </c>
      <c r="C22" s="91"/>
      <c r="D22" s="91"/>
      <c r="E22" s="91"/>
      <c r="F22" s="91"/>
      <c r="G22" s="91"/>
      <c r="H22" s="91"/>
      <c r="I22" s="92">
        <v>24</v>
      </c>
      <c r="J22" s="93"/>
      <c r="K22" s="94"/>
      <c r="L22" s="27" t="s">
        <v>41</v>
      </c>
      <c r="M22" s="95"/>
      <c r="N22" s="95"/>
      <c r="O22" s="95"/>
      <c r="P22" s="95"/>
      <c r="Q22" s="95"/>
      <c r="R22" s="95"/>
      <c r="S22" s="95"/>
      <c r="T22" s="95"/>
      <c r="U22" s="1"/>
      <c r="V22" s="92"/>
      <c r="W22" s="93"/>
      <c r="X22" s="94"/>
    </row>
    <row r="23" spans="1:24" ht="19.5" customHeight="1">
      <c r="A23" s="16"/>
      <c r="B23" s="91" t="s">
        <v>206</v>
      </c>
      <c r="C23" s="91"/>
      <c r="D23" s="91"/>
      <c r="E23" s="91"/>
      <c r="F23" s="91"/>
      <c r="G23" s="91"/>
      <c r="H23" s="91"/>
      <c r="I23" s="92">
        <v>24</v>
      </c>
      <c r="J23" s="93"/>
      <c r="K23" s="94"/>
      <c r="L23" s="27" t="s">
        <v>41</v>
      </c>
      <c r="M23" s="95"/>
      <c r="N23" s="95"/>
      <c r="O23" s="95"/>
      <c r="P23" s="95"/>
      <c r="Q23" s="95"/>
      <c r="R23" s="95"/>
      <c r="S23" s="95"/>
      <c r="T23" s="95"/>
      <c r="U23" s="1"/>
      <c r="V23" s="82"/>
      <c r="W23" s="83"/>
      <c r="X23" s="84"/>
    </row>
    <row r="24" spans="1:24" ht="27.75" customHeight="1">
      <c r="A24" s="16"/>
      <c r="B24" s="91" t="s">
        <v>114</v>
      </c>
      <c r="C24" s="91"/>
      <c r="D24" s="91"/>
      <c r="E24" s="91"/>
      <c r="F24" s="91"/>
      <c r="G24" s="91"/>
      <c r="H24" s="91"/>
      <c r="I24" s="92">
        <v>36</v>
      </c>
      <c r="J24" s="93"/>
      <c r="K24" s="94"/>
      <c r="L24" s="27" t="s">
        <v>41</v>
      </c>
      <c r="M24" s="95"/>
      <c r="N24" s="95"/>
      <c r="O24" s="95"/>
      <c r="P24" s="95"/>
      <c r="Q24" s="95"/>
      <c r="R24" s="95"/>
      <c r="S24" s="95"/>
      <c r="T24" s="95"/>
      <c r="U24" s="1"/>
      <c r="V24" s="92"/>
      <c r="W24" s="93"/>
      <c r="X24" s="94"/>
    </row>
    <row r="25" spans="1:24" ht="19.5" customHeight="1">
      <c r="A25" s="16"/>
      <c r="B25" s="91" t="s">
        <v>120</v>
      </c>
      <c r="C25" s="91"/>
      <c r="D25" s="91"/>
      <c r="E25" s="91"/>
      <c r="F25" s="91"/>
      <c r="G25" s="91"/>
      <c r="H25" s="91"/>
      <c r="I25" s="92">
        <v>10</v>
      </c>
      <c r="J25" s="93"/>
      <c r="K25" s="94"/>
      <c r="L25" s="27" t="s">
        <v>41</v>
      </c>
      <c r="M25" s="95"/>
      <c r="N25" s="95"/>
      <c r="O25" s="95"/>
      <c r="P25" s="95"/>
      <c r="Q25" s="95"/>
      <c r="R25" s="95"/>
      <c r="S25" s="95"/>
      <c r="T25" s="95"/>
      <c r="U25" s="1"/>
      <c r="V25" s="92"/>
      <c r="W25" s="93"/>
      <c r="X25" s="94"/>
    </row>
    <row r="26" spans="1:24" ht="18.75" customHeight="1">
      <c r="A26" s="16"/>
      <c r="B26" s="205" t="s">
        <v>57</v>
      </c>
      <c r="C26" s="206"/>
      <c r="D26" s="206"/>
      <c r="E26" s="206"/>
      <c r="F26" s="206"/>
      <c r="G26" s="206"/>
      <c r="H26" s="207"/>
      <c r="I26" s="160">
        <v>1</v>
      </c>
      <c r="J26" s="156"/>
      <c r="K26" s="157"/>
      <c r="L26" s="29" t="s">
        <v>41</v>
      </c>
      <c r="M26" s="95"/>
      <c r="N26" s="95"/>
      <c r="O26" s="95"/>
      <c r="P26" s="95"/>
      <c r="Q26" s="95"/>
      <c r="R26" s="95"/>
      <c r="S26" s="95"/>
      <c r="T26" s="95"/>
      <c r="U26" s="1"/>
    </row>
    <row r="27" spans="1:24" ht="19.5" customHeight="1">
      <c r="A27" s="16"/>
      <c r="B27" s="108" t="s">
        <v>127</v>
      </c>
      <c r="C27" s="109"/>
      <c r="D27" s="109"/>
      <c r="E27" s="109"/>
      <c r="F27" s="109"/>
      <c r="G27" s="109"/>
      <c r="H27" s="109"/>
      <c r="I27" s="103">
        <v>20</v>
      </c>
      <c r="J27" s="103"/>
      <c r="K27" s="103"/>
      <c r="L27" s="32" t="s">
        <v>41</v>
      </c>
      <c r="M27" s="95"/>
      <c r="N27" s="95"/>
      <c r="O27" s="95"/>
      <c r="P27" s="95"/>
      <c r="Q27" s="95"/>
      <c r="R27" s="95"/>
      <c r="S27" s="95"/>
      <c r="T27" s="95"/>
      <c r="U27" s="1"/>
    </row>
    <row r="28" spans="1:24" ht="19.5" customHeight="1">
      <c r="A28" s="16"/>
      <c r="B28" s="91" t="s">
        <v>207</v>
      </c>
      <c r="C28" s="91"/>
      <c r="D28" s="91"/>
      <c r="E28" s="91"/>
      <c r="F28" s="91"/>
      <c r="G28" s="91"/>
      <c r="H28" s="91"/>
      <c r="I28" s="164">
        <v>2</v>
      </c>
      <c r="J28" s="164"/>
      <c r="K28" s="164"/>
      <c r="L28" s="32" t="s">
        <v>41</v>
      </c>
      <c r="M28" s="95"/>
      <c r="N28" s="95"/>
      <c r="O28" s="95"/>
      <c r="P28" s="95"/>
      <c r="Q28" s="95"/>
      <c r="R28" s="95"/>
      <c r="S28" s="95"/>
      <c r="T28" s="95"/>
      <c r="U28" s="1"/>
    </row>
    <row r="29" spans="1:24" ht="19.5" customHeight="1">
      <c r="A29" s="16"/>
      <c r="B29" s="91" t="s">
        <v>208</v>
      </c>
      <c r="C29" s="91"/>
      <c r="D29" s="91"/>
      <c r="E29" s="91"/>
      <c r="F29" s="91"/>
      <c r="G29" s="91"/>
      <c r="H29" s="91"/>
      <c r="I29" s="92">
        <v>1</v>
      </c>
      <c r="J29" s="93"/>
      <c r="K29" s="94"/>
      <c r="L29" s="27" t="s">
        <v>115</v>
      </c>
      <c r="M29" s="95"/>
      <c r="N29" s="95"/>
      <c r="O29" s="95"/>
      <c r="P29" s="95"/>
      <c r="Q29" s="95"/>
      <c r="R29" s="95"/>
      <c r="S29" s="95"/>
      <c r="T29" s="95"/>
      <c r="U29" s="1"/>
    </row>
    <row r="30" spans="1:24" ht="47.25" customHeight="1">
      <c r="A30" s="16"/>
      <c r="B30" s="100"/>
      <c r="C30" s="101"/>
      <c r="D30" s="101"/>
      <c r="E30" s="102"/>
      <c r="F30" s="103" t="s">
        <v>183</v>
      </c>
      <c r="G30" s="103"/>
      <c r="H30" s="103"/>
      <c r="I30" s="103"/>
      <c r="J30" s="103"/>
      <c r="K30" s="103"/>
      <c r="L30" s="103"/>
      <c r="M30" s="103"/>
      <c r="N30" s="103"/>
      <c r="O30" s="103"/>
      <c r="P30" s="104"/>
      <c r="Q30" s="105"/>
      <c r="R30" s="105"/>
      <c r="S30" s="105"/>
      <c r="T30" s="106"/>
      <c r="U30" s="1"/>
    </row>
    <row r="31" spans="1:24" ht="13.5" customHeight="1">
      <c r="A31" s="16"/>
      <c r="B31" s="100"/>
      <c r="C31" s="101"/>
      <c r="D31" s="101"/>
      <c r="E31" s="101"/>
      <c r="F31" s="101"/>
      <c r="G31" s="102"/>
      <c r="H31" s="107" t="s">
        <v>184</v>
      </c>
      <c r="I31" s="107"/>
      <c r="J31" s="107"/>
      <c r="K31" s="107"/>
      <c r="L31" s="107"/>
      <c r="M31" s="107"/>
      <c r="N31" s="107"/>
      <c r="O31" s="107"/>
      <c r="P31" s="104"/>
      <c r="Q31" s="105"/>
      <c r="R31" s="105"/>
      <c r="S31" s="105"/>
      <c r="T31" s="106"/>
      <c r="U31" s="1"/>
    </row>
    <row r="32" spans="1:24" ht="15" customHeight="1">
      <c r="B32" s="96" t="s">
        <v>185</v>
      </c>
      <c r="C32" s="96"/>
      <c r="D32" s="96"/>
      <c r="E32" s="96"/>
      <c r="F32" s="96"/>
      <c r="G32" s="96"/>
      <c r="H32" s="96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7"/>
    </row>
    <row r="33" spans="1:21">
      <c r="A33" s="17"/>
      <c r="B33" s="98"/>
      <c r="C33" s="98"/>
      <c r="D33" s="98"/>
      <c r="E33" s="98"/>
      <c r="F33" s="98"/>
      <c r="G33" s="98"/>
      <c r="H33" s="98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99"/>
    </row>
    <row r="35" spans="1:21">
      <c r="A35" t="s">
        <v>186</v>
      </c>
    </row>
  </sheetData>
  <mergeCells count="87">
    <mergeCell ref="A5:C5"/>
    <mergeCell ref="D5:K5"/>
    <mergeCell ref="L5:P5"/>
    <mergeCell ref="Q5:U5"/>
    <mergeCell ref="A1:C3"/>
    <mergeCell ref="D1:U1"/>
    <mergeCell ref="D2:U2"/>
    <mergeCell ref="D3:U4"/>
    <mergeCell ref="A4:C4"/>
    <mergeCell ref="B13:I13"/>
    <mergeCell ref="K13:S13"/>
    <mergeCell ref="B7:I7"/>
    <mergeCell ref="B8:I8"/>
    <mergeCell ref="B9:I9"/>
    <mergeCell ref="K9:S9"/>
    <mergeCell ref="B10:I10"/>
    <mergeCell ref="K10:S10"/>
    <mergeCell ref="B11:F11"/>
    <mergeCell ref="G11:I11"/>
    <mergeCell ref="K11:S11"/>
    <mergeCell ref="B12:I12"/>
    <mergeCell ref="K12:S12"/>
    <mergeCell ref="B19:H19"/>
    <mergeCell ref="I19:K19"/>
    <mergeCell ref="M19:Q19"/>
    <mergeCell ref="R19:T19"/>
    <mergeCell ref="B14:I14"/>
    <mergeCell ref="K14:S14"/>
    <mergeCell ref="B15:I15"/>
    <mergeCell ref="B16:I16"/>
    <mergeCell ref="B18:H18"/>
    <mergeCell ref="I18:K18"/>
    <mergeCell ref="M18:Q18"/>
    <mergeCell ref="R18:T18"/>
    <mergeCell ref="B20:H20"/>
    <mergeCell ref="I20:K20"/>
    <mergeCell ref="M20:Q20"/>
    <mergeCell ref="R20:T20"/>
    <mergeCell ref="B21:H21"/>
    <mergeCell ref="I21:K21"/>
    <mergeCell ref="M21:Q21"/>
    <mergeCell ref="R21:T21"/>
    <mergeCell ref="B26:H26"/>
    <mergeCell ref="I26:K26"/>
    <mergeCell ref="M26:Q26"/>
    <mergeCell ref="R26:T26"/>
    <mergeCell ref="B22:H22"/>
    <mergeCell ref="I22:K22"/>
    <mergeCell ref="M22:Q22"/>
    <mergeCell ref="R22:T22"/>
    <mergeCell ref="B24:H24"/>
    <mergeCell ref="I24:K24"/>
    <mergeCell ref="M24:Q24"/>
    <mergeCell ref="R24:T24"/>
    <mergeCell ref="B23:H23"/>
    <mergeCell ref="I23:K23"/>
    <mergeCell ref="M23:Q23"/>
    <mergeCell ref="R23:T23"/>
    <mergeCell ref="B32:U33"/>
    <mergeCell ref="B27:H27"/>
    <mergeCell ref="I27:K27"/>
    <mergeCell ref="M27:Q27"/>
    <mergeCell ref="R27:T27"/>
    <mergeCell ref="I28:K28"/>
    <mergeCell ref="M28:Q28"/>
    <mergeCell ref="R28:T28"/>
    <mergeCell ref="V19:X19"/>
    <mergeCell ref="V20:X20"/>
    <mergeCell ref="V21:X21"/>
    <mergeCell ref="V22:X22"/>
    <mergeCell ref="V24:X24"/>
    <mergeCell ref="V25:X25"/>
    <mergeCell ref="B30:E30"/>
    <mergeCell ref="F30:O30"/>
    <mergeCell ref="P30:T30"/>
    <mergeCell ref="B31:G31"/>
    <mergeCell ref="H31:O31"/>
    <mergeCell ref="P31:T31"/>
    <mergeCell ref="B28:H28"/>
    <mergeCell ref="B29:H29"/>
    <mergeCell ref="I29:K29"/>
    <mergeCell ref="M29:Q29"/>
    <mergeCell ref="R29:T29"/>
    <mergeCell ref="B25:H25"/>
    <mergeCell ref="I25:K25"/>
    <mergeCell ref="M25:Q25"/>
    <mergeCell ref="R25:T25"/>
  </mergeCells>
  <printOptions horizontalCentered="1"/>
  <pageMargins left="0.70866141732283472" right="0.70866141732283472" top="0.74803149606299213" bottom="0.74803149606299213" header="0.31496062992125984" footer="0.31496062992125984"/>
  <pageSetup paperSize="9" scale="75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5064654631AB4C9FB54BC445B1763F" ma:contentTypeVersion="3" ma:contentTypeDescription="Crear nuevo documento." ma:contentTypeScope="" ma:versionID="36c5539c5d84dcde08d0e2f26647ccc5">
  <xsd:schema xmlns:xsd="http://www.w3.org/2001/XMLSchema" xmlns:xs="http://www.w3.org/2001/XMLSchema" xmlns:p="http://schemas.microsoft.com/office/2006/metadata/properties" xmlns:ns2="0d6cabc4-41a0-46d2-9cb2-8f0d823f8482" targetNamespace="http://schemas.microsoft.com/office/2006/metadata/properties" ma:root="true" ma:fieldsID="4f7aacd42235e7e6da990186b284e0fb" ns2:_="">
    <xsd:import namespace="0d6cabc4-41a0-46d2-9cb2-8f0d823f848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6cabc4-41a0-46d2-9cb2-8f0d823f848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37DEE1F-C5DD-433B-A61C-ED8A604C569A}"/>
</file>

<file path=customXml/itemProps2.xml><?xml version="1.0" encoding="utf-8"?>
<ds:datastoreItem xmlns:ds="http://schemas.openxmlformats.org/officeDocument/2006/customXml" ds:itemID="{0CC66DCC-C35F-4FAA-990C-C2FFFEC9CAD4}"/>
</file>

<file path=customXml/itemProps3.xml><?xml version="1.0" encoding="utf-8"?>
<ds:datastoreItem xmlns:ds="http://schemas.openxmlformats.org/officeDocument/2006/customXml" ds:itemID="{79D358ED-FB6A-42E1-B5B0-E3E9A327BEC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cp:keywords/>
  <dc:description/>
  <cp:lastModifiedBy/>
  <cp:revision/>
  <dcterms:created xsi:type="dcterms:W3CDTF">2013-03-15T18:50:55Z</dcterms:created>
  <dcterms:modified xsi:type="dcterms:W3CDTF">2026-05-07T04:28:28Z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0x010100275064654631AB4C9FB54BC445B1763F</vt:lpwstr>
  </property>
</Properties>
</file>