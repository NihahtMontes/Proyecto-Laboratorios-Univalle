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univalleedu-my.sharepoint.com/personal/sperezy_univalle_edu/Documents/Documentos/SIG LAB GASTRONOMIA/4. Gestion Mantenimiento y Equipos/Form. L-6 Verificacion estado de eq de lab/GESTION 2025/"/>
    </mc:Choice>
  </mc:AlternateContent>
  <xr:revisionPtr revIDLastSave="1717" documentId="14_{40DA0757-0A4A-4C5F-81AC-27EC12B8FEA7}" xr6:coauthVersionLast="47" xr6:coauthVersionMax="47" xr10:uidLastSave="{7A68B24B-D890-4FEA-ADAF-FD172415098C}"/>
  <bookViews>
    <workbookView xWindow="-120" yWindow="-120" windowWidth="24240" windowHeight="13140" tabRatio="1000" activeTab="1" xr2:uid="{00000000-000D-0000-FFFF-FFFF00000000}"/>
  </bookViews>
  <sheets>
    <sheet name="H-1" sheetId="1" r:id="rId1"/>
    <sheet name="H-2" sheetId="2" r:id="rId2"/>
    <sheet name="H-3" sheetId="3" r:id="rId3"/>
    <sheet name="H-4" sheetId="4" r:id="rId4"/>
    <sheet name="H-5" sheetId="5" r:id="rId5"/>
    <sheet name="H-6" sheetId="6" r:id="rId6"/>
    <sheet name="H-7" sheetId="7" r:id="rId7"/>
    <sheet name="K-1" sheetId="24" r:id="rId8"/>
    <sheet name="K-2" sheetId="15" r:id="rId9"/>
    <sheet name="K-3" sheetId="16" r:id="rId10"/>
    <sheet name="K-4" sheetId="17" r:id="rId11"/>
    <sheet name="K-5" sheetId="18" r:id="rId12"/>
    <sheet name="K-6" sheetId="19" r:id="rId13"/>
    <sheet name="H-102" sheetId="9" r:id="rId14"/>
    <sheet name="H-103" sheetId="10" r:id="rId15"/>
    <sheet name="H-104" sheetId="11" r:id="rId16"/>
    <sheet name="H-105" sheetId="12" r:id="rId17"/>
    <sheet name="H-106" sheetId="13" r:id="rId18"/>
    <sheet name="H-107" sheetId="14" r:id="rId19"/>
    <sheet name="OFICINA" sheetId="20" r:id="rId20"/>
    <sheet name="A CIRCULACION" sheetId="22" r:id="rId21"/>
    <sheet name="VESTUARIOS" sheetId="25" r:id="rId22"/>
    <sheet name="SALA DOCENTE" sheetId="26" r:id="rId23"/>
    <sheet name="ECONOMATO" sheetId="23" r:id="rId24"/>
  </sheets>
  <definedNames>
    <definedName name="_xlnm._FilterDatabase" localSheetId="23" hidden="1">ECONOMATO!$A$12:$F$29</definedName>
    <definedName name="_xlnm._FilterDatabase" localSheetId="0" hidden="1">'H-1'!$A$12:$F$29</definedName>
    <definedName name="_xlnm._FilterDatabase" localSheetId="13" hidden="1">'H-102'!$A$12:$F$24</definedName>
    <definedName name="_xlnm._FilterDatabase" localSheetId="14" hidden="1">'H-103'!$A$12:$F$25</definedName>
    <definedName name="_xlnm._FilterDatabase" localSheetId="15" hidden="1">'H-104'!$A$12:$F$21</definedName>
    <definedName name="_xlnm._FilterDatabase" localSheetId="16" hidden="1">'H-105'!$A$12:$F$18</definedName>
    <definedName name="_xlnm._FilterDatabase" localSheetId="17" hidden="1">'H-106'!$A$12:$F$19</definedName>
    <definedName name="_xlnm._FilterDatabase" localSheetId="18" hidden="1">'H-107'!$A$12:$F$17</definedName>
    <definedName name="_xlnm._FilterDatabase" localSheetId="1" hidden="1">'H-2'!$A$12:$F$29</definedName>
    <definedName name="_xlnm._FilterDatabase" localSheetId="2" hidden="1">'H-3'!$A$12:$F$37</definedName>
    <definedName name="_xlnm._FilterDatabase" localSheetId="3" hidden="1">'H-4'!$A$12:$F$27</definedName>
    <definedName name="_xlnm._FilterDatabase" localSheetId="4" hidden="1">'H-5'!$A$12:$F$27</definedName>
    <definedName name="_xlnm._FilterDatabase" localSheetId="5" hidden="1">'H-6'!$A$12:$F$30</definedName>
    <definedName name="_xlnm._FilterDatabase" localSheetId="6" hidden="1">'H-7'!$A$12:$F$35</definedName>
    <definedName name="_xlnm._FilterDatabase" localSheetId="7" hidden="1">'K-1'!$A$12:$F$27</definedName>
    <definedName name="_xlnm._FilterDatabase" localSheetId="8" hidden="1">'K-2'!$A$12:$F$16</definedName>
    <definedName name="_xlnm._FilterDatabase" localSheetId="9" hidden="1">'K-3'!$A$12:$F$17</definedName>
    <definedName name="_xlnm._FilterDatabase" localSheetId="10" hidden="1">'K-4'!$A$12:$F$17</definedName>
    <definedName name="_xlnm._FilterDatabase" localSheetId="11" hidden="1">'K-5'!$A$12:$F$16</definedName>
    <definedName name="_xlnm._FilterDatabase" localSheetId="12" hidden="1">'K-6'!$A$12:$F$15</definedName>
    <definedName name="_xlnm.Print_Area" localSheetId="2">'H-3'!$A$1:$F$42</definedName>
    <definedName name="_xlnm.Print_Titles" localSheetId="23">ECONOMATO!$1:$12</definedName>
    <definedName name="_xlnm.Print_Titles" localSheetId="0">'H-1'!$1:$12</definedName>
    <definedName name="_xlnm.Print_Titles" localSheetId="1">'H-2'!$1:$12</definedName>
    <definedName name="_xlnm.Print_Titles" localSheetId="2">'H-3'!$1:$12</definedName>
    <definedName name="_xlnm.Print_Titles" localSheetId="3">'H-4'!$1:$12</definedName>
    <definedName name="_xlnm.Print_Titles" localSheetId="4">'H-5'!$1:$12</definedName>
    <definedName name="_xlnm.Print_Titles" localSheetId="5">'H-6'!$1:$12</definedName>
    <definedName name="_xlnm.Print_Titles" localSheetId="6">'H-7'!$1:$12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22" l="1"/>
  <c r="A16" i="22"/>
  <c r="A17" i="22" s="1"/>
  <c r="A18" i="22" s="1"/>
  <c r="A19" i="22" s="1"/>
  <c r="A20" i="22" s="1"/>
  <c r="A21" i="22" s="1"/>
  <c r="A22" i="22" s="1"/>
  <c r="A23" i="22" s="1"/>
  <c r="A14" i="22"/>
  <c r="A16" i="24"/>
  <c r="A17" i="24"/>
  <c r="A18" i="24" s="1"/>
  <c r="A19" i="24" s="1"/>
  <c r="A20" i="24" s="1"/>
  <c r="A21" i="24" s="1"/>
  <c r="A22" i="24" s="1"/>
  <c r="A23" i="24" s="1"/>
  <c r="A24" i="24" s="1"/>
  <c r="A25" i="24" s="1"/>
  <c r="A26" i="24" s="1"/>
  <c r="A27" i="24" s="1"/>
  <c r="A14" i="23"/>
  <c r="A15" i="23" s="1"/>
  <c r="A16" i="23" s="1"/>
  <c r="A17" i="23" s="1"/>
  <c r="A18" i="23" s="1"/>
  <c r="A19" i="23" s="1"/>
  <c r="A20" i="23" s="1"/>
  <c r="A21" i="23" s="1"/>
  <c r="A22" i="23" s="1"/>
  <c r="A23" i="23" s="1"/>
  <c r="A24" i="23" s="1"/>
  <c r="A25" i="23" s="1"/>
  <c r="A26" i="23" s="1"/>
  <c r="A27" i="23" s="1"/>
  <c r="A28" i="23" s="1"/>
  <c r="A29" i="23" s="1"/>
  <c r="A30" i="23" s="1"/>
  <c r="A31" i="23" s="1"/>
  <c r="A32" i="23" s="1"/>
  <c r="A33" i="23" s="1"/>
  <c r="A25" i="7" l="1"/>
  <c r="A14" i="7"/>
  <c r="A15" i="7" s="1"/>
  <c r="A16" i="7" s="1"/>
  <c r="A17" i="7" s="1"/>
  <c r="A18" i="7" s="1"/>
  <c r="A19" i="7" s="1"/>
  <c r="A20" i="7" s="1"/>
  <c r="A21" i="7" s="1"/>
  <c r="A22" i="7" s="1"/>
  <c r="A23" i="7" s="1"/>
  <c r="A24" i="7" s="1"/>
  <c r="A26" i="7" s="1"/>
  <c r="A27" i="7" s="1"/>
  <c r="A28" i="7" s="1"/>
  <c r="A29" i="7" s="1"/>
  <c r="A30" i="7" s="1"/>
  <c r="A31" i="7" s="1"/>
  <c r="A32" i="7" s="1"/>
  <c r="A33" i="7" s="1"/>
  <c r="A34" i="7" s="1"/>
  <c r="A35" i="7" s="1"/>
  <c r="A36" i="7" s="1"/>
  <c r="A37" i="7" s="1"/>
  <c r="A38" i="7" s="1"/>
  <c r="A39" i="7" s="1"/>
  <c r="A15" i="11"/>
  <c r="A16" i="11" s="1"/>
  <c r="A17" i="11" s="1"/>
  <c r="A18" i="11" s="1"/>
  <c r="A19" i="11" s="1"/>
  <c r="A20" i="11" s="1"/>
  <c r="A21" i="11" s="1"/>
  <c r="A14" i="11"/>
  <c r="A15" i="10"/>
  <c r="A16" i="10" s="1"/>
  <c r="A14" i="10"/>
  <c r="A22" i="9"/>
  <c r="A14" i="9"/>
  <c r="A15" i="9" s="1"/>
  <c r="A16" i="9" s="1"/>
  <c r="A17" i="9" s="1"/>
  <c r="A18" i="9" s="1"/>
  <c r="A19" i="9" s="1"/>
  <c r="A20" i="9" s="1"/>
  <c r="A21" i="9" s="1"/>
  <c r="A15" i="24"/>
  <c r="A35" i="3"/>
  <c r="A19" i="3"/>
  <c r="A14" i="3"/>
  <c r="A15" i="3" s="1"/>
  <c r="A16" i="3" s="1"/>
  <c r="A17" i="3" s="1"/>
  <c r="A18" i="3" s="1"/>
  <c r="A15" i="2"/>
  <c r="A16" i="2"/>
  <c r="A17" i="2" s="1"/>
  <c r="A18" i="2" s="1"/>
  <c r="A19" i="2" s="1"/>
  <c r="A20" i="2" s="1"/>
  <c r="A21" i="2" s="1"/>
  <c r="A22" i="2" s="1"/>
  <c r="A23" i="2" s="1"/>
  <c r="A24" i="2" s="1"/>
  <c r="A25" i="2" s="1"/>
  <c r="A26" i="2" s="1"/>
  <c r="A27" i="2" s="1"/>
  <c r="A28" i="2" s="1"/>
  <c r="A29" i="2" s="1"/>
  <c r="A14" i="2"/>
  <c r="A18" i="1"/>
  <c r="A14" i="1"/>
  <c r="A15" i="1" s="1"/>
  <c r="A16" i="1" s="1"/>
  <c r="A17" i="1" s="1"/>
  <c r="A19" i="1" s="1"/>
  <c r="A20" i="1" s="1"/>
  <c r="A21" i="1" s="1"/>
  <c r="A22" i="1" s="1"/>
  <c r="A23" i="1" s="1"/>
  <c r="A24" i="1" s="1"/>
  <c r="A25" i="1" s="1"/>
  <c r="A26" i="1" s="1"/>
  <c r="A27" i="1" s="1"/>
  <c r="A28" i="1" s="1"/>
  <c r="A29" i="1" s="1"/>
  <c r="A23" i="9" l="1"/>
  <c r="A24" i="9" s="1"/>
  <c r="A20" i="3"/>
  <c r="A21" i="3" s="1"/>
  <c r="A22" i="3" s="1"/>
  <c r="A23" i="3" s="1"/>
  <c r="A24" i="3" s="1"/>
  <c r="A25" i="3" s="1"/>
  <c r="A26" i="3" s="1"/>
  <c r="A27" i="3" s="1"/>
  <c r="A28" i="3" s="1"/>
  <c r="A29" i="3" s="1"/>
  <c r="A30" i="3" s="1"/>
  <c r="A31" i="3" s="1"/>
  <c r="A32" i="3" s="1"/>
  <c r="A33" i="3" s="1"/>
  <c r="A34" i="3" s="1"/>
  <c r="A36" i="3" s="1"/>
  <c r="A37" i="3" s="1"/>
  <c r="A38" i="3" s="1"/>
  <c r="A17" i="10"/>
  <c r="A18" i="10"/>
  <c r="A19" i="10"/>
  <c r="A20" i="10"/>
  <c r="A21" i="10"/>
  <c r="A22" i="10"/>
  <c r="A23" i="10"/>
  <c r="A24" i="10"/>
  <c r="A25" i="10"/>
</calcChain>
</file>

<file path=xl/sharedStrings.xml><?xml version="1.0" encoding="utf-8"?>
<sst xmlns="http://schemas.openxmlformats.org/spreadsheetml/2006/main" count="1619" uniqueCount="358">
  <si>
    <t>VERIFICACIÓN ESTADO DE EQUIPOS POR LABORATORIO</t>
  </si>
  <si>
    <t>Código de registro: RE-10-LAB-006</t>
  </si>
  <si>
    <t>Dirección de Laboratorios y Bibliotecas</t>
  </si>
  <si>
    <t>Formulario L-6</t>
  </si>
  <si>
    <t>UNIVERSIDAD DEL VALLE</t>
  </si>
  <si>
    <t>LABORATORIO:</t>
  </si>
  <si>
    <t>ECONOMATO</t>
  </si>
  <si>
    <t>RESPONSABLE:</t>
  </si>
  <si>
    <t xml:space="preserve">FECHA VERIFICACION: </t>
  </si>
  <si>
    <t>Item</t>
  </si>
  <si>
    <t>DESCRIPCIÓN EQUIPO Y/O ACCESORIO</t>
  </si>
  <si>
    <t>MARCA</t>
  </si>
  <si>
    <t>OBSERVACIONES</t>
  </si>
  <si>
    <t>CAMARA CONSERVADORA</t>
  </si>
  <si>
    <t>BUENO</t>
  </si>
  <si>
    <t>ASBER FAGOR</t>
  </si>
  <si>
    <t>CAMARA CONGELACION</t>
  </si>
  <si>
    <t>FIRMA ENCARGADO DE LABORATORIO</t>
  </si>
  <si>
    <t>EXTRACTOR DE HUMOS Y GRASAS</t>
  </si>
  <si>
    <t>MALO</t>
  </si>
  <si>
    <t>XXX</t>
  </si>
  <si>
    <t>SE REQUIERE MANTENIMIENTO, DESENGRASADO Y LIMPIEZA PROFUNDA DE ASPAS Y FILTROS.</t>
  </si>
  <si>
    <t>EXTRACTOR DE AIRE</t>
  </si>
  <si>
    <t>SE REQUIERE MANTENIMIENTO.</t>
  </si>
  <si>
    <t>TERMOTANQUE</t>
  </si>
  <si>
    <t>COCINA INDUSTRIAL INOX</t>
  </si>
  <si>
    <t>WILDA</t>
  </si>
  <si>
    <t>CAMPANA DE EXTRACCIÒN INOX</t>
  </si>
  <si>
    <t>LAVAPLATOS DE DOS BACHAS METALICO INOX</t>
  </si>
  <si>
    <t xml:space="preserve">BUENO </t>
  </si>
  <si>
    <t>NINGUNA</t>
  </si>
  <si>
    <t>MESAS METALICAS CUADRADAS INOX</t>
  </si>
  <si>
    <t>MESONES METALICOS RECTANGULARES INOX</t>
  </si>
  <si>
    <t>BALANZA DIGITAL DE 30 KG</t>
  </si>
  <si>
    <t>OHAUS</t>
  </si>
  <si>
    <t>REPISA RECTANGULAR INOX</t>
  </si>
  <si>
    <t>HORNO INDUSTRIAL METALICO INOX</t>
  </si>
  <si>
    <t>FERMENTADORA</t>
  </si>
  <si>
    <t>SE REQUIERE MANTENIMIENTO, DESENGRASADO Y LIMPIEZA PROFUNDA DE FILTROS, DUCTOS Y LUMINARIAS.</t>
  </si>
  <si>
    <t xml:space="preserve">REFRIGERADOR INDUSTRIAL </t>
  </si>
  <si>
    <t>VENTUSCORP</t>
  </si>
  <si>
    <t>FREIDORA INDUSTRIAL INOX</t>
  </si>
  <si>
    <t>H-3</t>
  </si>
  <si>
    <t>HORNO INDUSTRIAL METALICO INOX 1</t>
  </si>
  <si>
    <t>HORNO INDUSTRIAL METALICO INOX 2</t>
  </si>
  <si>
    <t>HORNO INDUSTRIAL METALICO INOX 3</t>
  </si>
  <si>
    <t>FERMENTADORA INDUSTRIAL INOX</t>
  </si>
  <si>
    <t>REPISA METALICA INOX</t>
  </si>
  <si>
    <t>ELECTRONIC - SCALE</t>
  </si>
  <si>
    <t>MESON METALICO RECTANGULAR INOX</t>
  </si>
  <si>
    <t>OSTER</t>
  </si>
  <si>
    <t>H-4</t>
  </si>
  <si>
    <t>ELECTRONIC SCALE</t>
  </si>
  <si>
    <t>REFRIGERADOR INDUSTRIAL</t>
  </si>
  <si>
    <t>VENTUS</t>
  </si>
  <si>
    <t>H-5</t>
  </si>
  <si>
    <t xml:space="preserve">MESON - REFRIGERADOR </t>
  </si>
  <si>
    <t>H-6</t>
  </si>
  <si>
    <t>NINGUNO</t>
  </si>
  <si>
    <t>H-7</t>
  </si>
  <si>
    <t>ABATIDOR FASTER REFRIGERANTE</t>
  </si>
  <si>
    <t>AFINOX</t>
  </si>
  <si>
    <t>CAMARA CONSERVADORA CON DOS PUERTAS</t>
  </si>
  <si>
    <t>ASBER</t>
  </si>
  <si>
    <t>LAVAPLATOS DE DOS BACHAS INOX</t>
  </si>
  <si>
    <t>COCINA MESON ROBUSTO INOX</t>
  </si>
  <si>
    <t>LENOVO</t>
  </si>
  <si>
    <t>TV PLASMA DE 47 PULGAS</t>
  </si>
  <si>
    <t>SONY</t>
  </si>
  <si>
    <t>CAMARA FILMADORA</t>
  </si>
  <si>
    <t>VISION</t>
  </si>
  <si>
    <t>MESA METALICA RECTANGULAR</t>
  </si>
  <si>
    <t>K-1</t>
  </si>
  <si>
    <t>TELEVISOR LED</t>
  </si>
  <si>
    <t>SAMSUNG</t>
  </si>
  <si>
    <t>K-2</t>
  </si>
  <si>
    <t>ESCRITORIO DE MADERA</t>
  </si>
  <si>
    <t>PROYECTOR LED/LASER</t>
  </si>
  <si>
    <t>CASIO</t>
  </si>
  <si>
    <t>K-3</t>
  </si>
  <si>
    <t>ACCES POINT</t>
  </si>
  <si>
    <t>CISCO</t>
  </si>
  <si>
    <t>K-4</t>
  </si>
  <si>
    <t>K-5</t>
  </si>
  <si>
    <t>K-6</t>
  </si>
  <si>
    <t>ESCRITORIO METALICO CON CUERINA Y VIDRIO</t>
  </si>
  <si>
    <t>H-102</t>
  </si>
  <si>
    <t>MESON ROBUSTO CON ANAFE DE 4 HORNALLAS</t>
  </si>
  <si>
    <t>LAVAPLATOS METALICO INOX</t>
  </si>
  <si>
    <t>TELEVISORES LED</t>
  </si>
  <si>
    <t>HAIER</t>
  </si>
  <si>
    <t>H-103</t>
  </si>
  <si>
    <t>HIK VISION</t>
  </si>
  <si>
    <t>H-104</t>
  </si>
  <si>
    <t>H-105</t>
  </si>
  <si>
    <t>COCINA MESON ROBUSTO</t>
  </si>
  <si>
    <t>LG</t>
  </si>
  <si>
    <t>H-106</t>
  </si>
  <si>
    <t>CAMPANA INDUSTRIAL INOX</t>
  </si>
  <si>
    <t>H-107</t>
  </si>
  <si>
    <t>ALL IN ONE</t>
  </si>
  <si>
    <t>ROUTER</t>
  </si>
  <si>
    <t>VIEW SONIC</t>
  </si>
  <si>
    <t>CAMARA CONGELADORA DE MARISCOS</t>
  </si>
  <si>
    <t>SILLA METALICA GIRATORIA TAPIZ TELA</t>
  </si>
  <si>
    <t>SE REQUIERE DESENGRASADO DE CAMARAS DE LAVAPLATOS.
SE REQUIERE LIMPIEZA Y AJUSTE DE GRIFERIA</t>
  </si>
  <si>
    <t>EXTINTOR DE 8 KG MARCA ABC</t>
  </si>
  <si>
    <t>LICUADORA ELECTRICA OSTER REVERSIBLE</t>
  </si>
  <si>
    <t>MUEBLE METALICO PARA COMPUTADORA</t>
  </si>
  <si>
    <t>TECLADO</t>
  </si>
  <si>
    <t>GARRAFAS DE 45 KG</t>
  </si>
  <si>
    <t>PIZARRA</t>
  </si>
  <si>
    <t>EXTINTOR</t>
  </si>
  <si>
    <t>PORTA UTENSILIOS</t>
  </si>
  <si>
    <t>PORTA TABLAS</t>
  </si>
  <si>
    <t>VITRINA DE PARED</t>
  </si>
  <si>
    <t>ESTANTE PORTABANDEJA</t>
  </si>
  <si>
    <t>MESA METALICA PLOMO JASPEADO</t>
  </si>
  <si>
    <t>MUEBLE DE MELAMINA PARA COMPUTADORA</t>
  </si>
  <si>
    <t>TABURETE METALICO</t>
  </si>
  <si>
    <t xml:space="preserve">SE REQUIERE DESENGRASADO DE CAMARAS DE LAVAPLATOS.
SE REQUIERE CAMBIO, INSTALACION DE LA GRIFERIA. </t>
  </si>
  <si>
    <t>GARRAFA DE 10 KG</t>
  </si>
  <si>
    <t>SILLA DE MADERA</t>
  </si>
  <si>
    <t>MESA DE MADERA</t>
  </si>
  <si>
    <t xml:space="preserve">SILLA DE MADERA </t>
  </si>
  <si>
    <t>PIZARRA ACRILICO</t>
  </si>
  <si>
    <t>FILTRO ABLANDADOR DE AGUA</t>
  </si>
  <si>
    <t>PIZARRA ACRILICA</t>
  </si>
  <si>
    <t xml:space="preserve">SILLA DE MADERA  </t>
  </si>
  <si>
    <t xml:space="preserve">DESPORTILLADO EN EL BORDE QUE TIENE CONTACTO CON EL PISO POR HUMEDAD </t>
  </si>
  <si>
    <t>SE DEBE FIJAR LA CAJONERIA DEL LAVAPLATOS.
MANTENIMIENTO, LIMPIEZA Y DESENGRASADO
SE REQUIERE LIMPIEZA Y AJUSTE DE GRIFERIA</t>
  </si>
  <si>
    <t>MANTENIMIENTO, LIMPIEZA Y DESENGRASADO. 
SE REQUIERE LIMPIEZA Y AJUSTE DE GRIFERIA</t>
  </si>
  <si>
    <t>SE DEBE FIJAR LA CAJONERIA DEL LAVAPLATOS.
MANTENIMIENTO, LIMPIEZA Y DESENGRASADO.
SE REQUIERE LIMPIEZA Y AJUSTE DE GRIFERIA</t>
  </si>
  <si>
    <t>SE REQUIERE  REVISION PUERTO HDMI. SE RECOMIENDA CABLE DE HDMI PARA CONEXIÓN DIRECTA DEBIDO A LA  RED WIFI DE INTERNET INESTABLE. NO TIENE INTERNET</t>
  </si>
  <si>
    <t>SE REQUIERE  CAMBIO DE  PUERTO HDMI. SE RECOMIENDA CABLE DE HDMI PARA CONEXIÓN DIRECTA DEBIDO A LA  RED WIFI DE INTERNET INESTABLE. NO TIENE INTERNET</t>
  </si>
  <si>
    <t>BALANZA</t>
  </si>
  <si>
    <t>LEVER</t>
  </si>
  <si>
    <t>LICUADORA</t>
  </si>
  <si>
    <t>MEAT GRINDER</t>
  </si>
  <si>
    <t>AMASADORA</t>
  </si>
  <si>
    <t>SE REQUIERE MANTENIMIENTO, DESENGRASADO Y LIMPIEZA PROFUNDA DE FILTROS, DUCTOS Y LUMINARIAS. CON RETIRO DE GRASAS ADHERIDAS A PARTES.
ENTUBADO Y/O CANALIZACIÓN DE CABLES ELÉCTRICOS</t>
  </si>
  <si>
    <t>ESTANTE METALICO</t>
  </si>
  <si>
    <t>ESTANTE BAR DE MADERA</t>
  </si>
  <si>
    <t>VITRINA METALICA</t>
  </si>
  <si>
    <t>BACHA DE LAVADO</t>
  </si>
  <si>
    <t>CAFETERA INDUSTRIAL</t>
  </si>
  <si>
    <t>ASTORIA</t>
  </si>
  <si>
    <t>MOLINO DE CAFE</t>
  </si>
  <si>
    <t>FIORENZATO</t>
  </si>
  <si>
    <t>ENVASADORA AL VACIO</t>
  </si>
  <si>
    <t>MICROONDAS</t>
  </si>
  <si>
    <t>MAQUINA DE HELADO</t>
  </si>
  <si>
    <t>LAMINADORA DE MASA</t>
  </si>
  <si>
    <t>BATIDORA PLANETARIA</t>
  </si>
  <si>
    <t>SE REQUIERE LIMPIEZA PROFUNDA, CON RETIRO DE GRASAS ADHERIDAS A PARTES.
SE REQUIERE MANTENIMIENTO PREVENTIVO A COCINAS.</t>
  </si>
  <si>
    <t xml:space="preserve">MANTENIMIENTO, LIMPIEZA Y DESENGRASADO
SE REQUIERE LIMPIEZA Y AJUSTE DE GRIFERIA
</t>
  </si>
  <si>
    <t>REGULAR</t>
  </si>
  <si>
    <t>MIXER</t>
  </si>
  <si>
    <t>ROBOT COUPE</t>
  </si>
  <si>
    <t>CARRITO PORTA GARRAFA</t>
  </si>
  <si>
    <t>MANTENIMIENTO PREVENTIVO, LIMPIEZA DE COMPONENTES.
ACTUALIZACION DE SOFTWARE</t>
  </si>
  <si>
    <t>THERMOMIX</t>
  </si>
  <si>
    <t>SE REQUIERE LIMPIEZA PROFUNDA Y CAMBIO DE GOMITAS DE LAS PATITAS</t>
  </si>
  <si>
    <t>SE REQUIERE CAMBIO O REPINTADO, PRESENTA RAYADURAS Y PINTURA</t>
  </si>
  <si>
    <t>SE REQUIERE MANTENIMIENTO PREVENTIVO , CAMBIO DE CINTA TEFLONADA EN RESISTENCIA</t>
  </si>
  <si>
    <t>SE REQUIERE MANTENIMIENTO PREVENTIVO Y  LIMPIEZA PROFUNDA. CON CAFIZZA Y SET DE CEPILLOS PARA LIMPIEZA DE CAFETERA</t>
  </si>
  <si>
    <t>SE REQUIERE MANTENIMIENTO PREVENTIVO Y  LIMPIEZA PROFUNDA. CON GRINDZ</t>
  </si>
  <si>
    <t>SE REQUIERE MANTENIMIENTO, DESENGRASADO Y LIMPIEZA PROFUNDA DE FILTROS , DUCTOS Y LUMINARIAS. CON RETIRO DE GRASAS ADHERIDAS A PARTES.
ENTUBADO Y/O CANALIZACIÓN DE CABLES ELÉCTRICOS. AJUSTE DE SELECTORES DE PRENDIDO Y APAGADO DE LUMINARIAS.
SE REQUIERE REVISION DE TENSION DE ALAMBRES SUJETADORES DE CAMPANA ISLA.</t>
  </si>
  <si>
    <t>SE REQUIERE MANTENIMIENTO PREVENTIVO A COCINAS.
SE TIENE PRESENCIA DE LLAMA NARANJA POR COMBUSTION INCOMPLETA. REQUIERE REGULACION DE FLUJO DE GAS.
SE REQUIERE LIMPIEZA PROFUNDA, CON RETIRO DE GRASAS ADHERIDAS A PARTES.
SE REQUIERE REAJUSTE DE PERILLAS
SE REQUIERE REVISION Y/O CAMBIO DE O-RING EN VALVULAS
SE REQUIERE LIMPIEZA VENTURI COCINAS
SE REQUIERE EL CAMBIO DE LLANTAS GIRATORIAS INDUSTRIALES</t>
  </si>
  <si>
    <t>SE REQUIERE CAMBIO DE LLANTAS GIRATORIAS INDUSTRIALES , SIN FRENO Y CON FRENO, SE EVIDENCIA  AGRIETAMIENTO O ROTURA EN LA GOMA</t>
  </si>
  <si>
    <t>SE REQUIERE LIMPIEZA PROFUNDA, CON RETIRO DE GRASAS ADHERIDAS A PARTES.
SE REQUIERE MANTENIMIENTO PREVENTIVO A COCINAS.
SE REQUIERE MANTENIMIENTO ELECTRICO, CHISPERO.</t>
  </si>
  <si>
    <t>SE REQUIERE LIMPIEZA PROFUNDA Y CAMBIO DE GOMITAS DE LOS SOPORTES</t>
  </si>
  <si>
    <t>BEBEDERO DE AGUA</t>
  </si>
  <si>
    <t>MANTENIMIENTO DE FILTRO Y AJUSTE DE ACOPLAMIENTOS</t>
  </si>
  <si>
    <t>IBBL</t>
  </si>
  <si>
    <t xml:space="preserve">SE REQUIERE CAMBIO DE LLANTAS </t>
  </si>
  <si>
    <t>PROCESADOR DE ALIMENTOS (MOLEDORA DE CARNE)</t>
  </si>
  <si>
    <t>NECESITA MANTENIMIENTO PREVENTIVO Y LIMPIEZA DE LA CAMARA CONGELADORA DE MARISCOS.
LIMPIEZA Y DESINFECCION INTERNA Y EXTERNA DE LA CAMARA</t>
  </si>
  <si>
    <t>SE REQUIERE PINTURA DE GABINETES, Y DE REPISAS DEBAJO DE MARMOL</t>
  </si>
  <si>
    <t xml:space="preserve">SE REQUIERE PINTADO DE PARED NB 58002:2020
</t>
  </si>
  <si>
    <t>SE REQUIERE DESENGRASADO DE CAMARAS DE LAVAPLATOS.
SE REQUIERE LIMPIEZA ,AJUSTE DE GRIFERIA Y CAMBIO DE 1 GRIFO</t>
  </si>
  <si>
    <t xml:space="preserve">SE REQUIERE PINTADO DE PARTES METALICAS
</t>
  </si>
  <si>
    <t>SE REQUIERE AJUSTE Y REFUERZO EN SOPORTE
SE REQUIERE PINTADO DE PARTES METALICAS</t>
  </si>
  <si>
    <t>PANASONIC</t>
  </si>
  <si>
    <t>CASILLEROS METALICOS 8 PUERTAS</t>
  </si>
  <si>
    <t>REQUIERE PINTURA, SOLDADURA Y CAMBIO DE PUERTAS</t>
  </si>
  <si>
    <t>DESPORTILLADO EN LOS BORDES, REQUIERE PINTURA</t>
  </si>
  <si>
    <t>MESA MADERA</t>
  </si>
  <si>
    <t>PINZA KELLY</t>
  </si>
  <si>
    <t>SE REQUIERE AJUSTE DE ESPALDAR, EL ESPALDAR SE VA PARA ATRÁS.
SE REQUIERE NIVELADO DEL ASIENTO. (ERGONOMIA)</t>
  </si>
  <si>
    <t>SILLA METALICA FIJA TAPIZ TELA</t>
  </si>
  <si>
    <t>DEPORTILLADO EN LOS BORDES.
SE REQUIERE PINTURA</t>
  </si>
  <si>
    <t xml:space="preserve">SE REQUIERE LIMPIEZA PROFUNDA, CON RETIRO DE GRASAS ADHERIDAS A PARTES.
SE REQUIERE MANTENIMIENTO PREVENTIVO A COCINAS.
</t>
  </si>
  <si>
    <t>SE REQUIERE CAMBIO DE CONTROL UNIVERSAL MARCA HAIER</t>
  </si>
  <si>
    <t>TELEVISOR LCD</t>
  </si>
  <si>
    <t>HORNO INDUSTRIAL METALICO INOX CON FERMENTADOR</t>
  </si>
  <si>
    <t>EXTINTOR TIPO K</t>
  </si>
  <si>
    <t>BATIDORA OSTER PEQUEÑA</t>
  </si>
  <si>
    <t>SE REQUIERE REEMPLAZO /REFACCION  DE LOS ALMBRES DE MARIPOSA
REQUIERE MANTENIMIENTO PREVENTIVO ELECTRICO Y MECANICO.
LIMPIEZA PROFUNDA DE EQUIPO Y ACCESORIOS</t>
  </si>
  <si>
    <t>SE OBSERVA QUE ESCAPA EL VAPOR POR EL PISO  DADO QUE NO ES HERMETICAMENTE CERRADO.
CAMBIO DE BURLETE
SE REQUIERE AUTOMATIZACION EL SISTEMA PARA UNA CONEXIÓN DIRECTA CON UNA FUENTE DE AGUA Y BUZZER DE ALARMA ANTE UN INDICADOR DE NIVEL PARA EVITAR QUEMAR LA RESISTENCIA.
SE REQUIERE CAMBIO DE CONTROLADOR DE TEMPERATURA Y HUMEDAD
SE REQUIERE 6 REJILLAS METALICAS DE ACERO INOXIDABLE PROPIAS DEL FERMENTADOR</t>
  </si>
  <si>
    <t xml:space="preserve">SE REQUIERE MANTENIMIENTO, DESENGRASADO Y LIMPIEZA PROFUNDA DE FILTROS , DUCTOS Y LUMINARIAS. CON RETIRO DE GRASAS ADHERIDAS A PARTES.
AJUSTE DE SELECTORES DE PRENDIDO Y APAGADO DE LUMINARIAS.
SE REQUIERE MEJORA DE LUMENES DE LUMINARIA
</t>
  </si>
  <si>
    <t xml:space="preserve">SE REQUIERE MANTENIMIENTO, DESENGRASADO Y LIMPIEZA PROFUNDA DE FILTROS , DUCTOS Y LUMINARIAS. CON RETIRO DE GRASAS ADHERIDAS A PARTES.
ENTUBADO Y/O CANALIZACIÓN DE CABLES ELÉCTRICOS. AJUSTE DE SELECTORES DE PRENDIDO Y APAGADO DE LUMINARIAS.
SE REQUIERE REVISION DE TENSION DE ALAMBRES SUJETADORES DE CAMPANA ISLA.
SE REQUERE CAMBIO DE PROTECTORES DE PANTALLA (2 UNIDAD) </t>
  </si>
  <si>
    <t>BANCA DE MADERA</t>
  </si>
  <si>
    <t xml:space="preserve">REQUIERE PINTURA </t>
  </si>
  <si>
    <t>CASILLEROS METALICOS 4 PUERTAS</t>
  </si>
  <si>
    <t>SILLAS</t>
  </si>
  <si>
    <t>BALANZA ELECTRONICA</t>
  </si>
  <si>
    <t>LICUADORA ELECTRICA OSTER REVERSIBLE XPERT</t>
  </si>
  <si>
    <t>HORNO CONVECTOR ELECTRICO</t>
  </si>
  <si>
    <t xml:space="preserve">MALO </t>
  </si>
  <si>
    <t>ARIANNA</t>
  </si>
  <si>
    <t>MANTENIMIENTO PREVENTIVO, LIMPIEZA PROFUNDA.
SE REQUIERE ALINEAMIENTO DE PARTE ROTATIVAS
SE REQUIERE INSTALACION FIJA EN MESA</t>
  </si>
  <si>
    <t>SE REQUIERE PINTADO DE PARED NB 58002:2020
SE REQUIERE RECARGA AGOSTO 2025</t>
  </si>
  <si>
    <t xml:space="preserve">SE REQUIERE MANTENIMIENTO, DESENGRASADO Y LIMPIEZA PROFUNDA DE FILTROS , DUCTOS Y LUMINARIAS. CON RETIRO DE GRASAS ADHERIDAS A PARTES.
MANTENIMIENTO DE LUMINARIAS,CABLES ELÉCTRICOS. AJUSTE/ CAMBIO DE SELECTORES DE PRENDIDO Y APAGADO DE LUMINARIAS. (2 UNID)
</t>
  </si>
  <si>
    <t>SE REQUIERE CAMBIO DE LLANTAS GIRATORIAS INDUSTRIALES , (2 C/U )SIN FRENO Y (2 C/U) CON FRENO, SE EVIDENCIA  AGRIETAMIENTO O ROTURA EN LA GOMA
SE REQUIERE LIMPIEZA PROFUNDA, DESENGRASADO CON RETIRO DE GRASAS ADHERIDAS A PARTES.</t>
  </si>
  <si>
    <t>SE REQUIERE LIMPIEZA PROFUNDA, DESENGRASADO CON RETIRO DE GRASAS ADHERIDAS A PARTES.</t>
  </si>
  <si>
    <t>SE REQUIERE READECUACION PARA COLOCAR TABLAS AZULES GRANDES</t>
  </si>
  <si>
    <t>MANTENIMIENTO PREVENTIVO, LIMPIEZA PROFUNDA.
SE REQUIERE ACOPLE DE 3 A 2 DE ACUERDO A CORRIENTE 20A.
SE REQUIERE CAMBIO DE PLACA DE ENCHUFE PARA PLACAS DE INDUCCION ( Enchufe Schuko (tipo F o CEE 7/7)</t>
  </si>
  <si>
    <t>SE REQUIERE MANTENIMIENTO PREVENTIVO Y LIMPIEZA INTEGRAL.
SE REQUIERE REVISION DE FUGAS REFRIGERANTE
SE REQUIERE LUBRICACION VENTILADORA DE CONDENSADOR
SE REQUIERE VERIFICACION Y AJUSTE DE PARAMETROS DE CONSERVACION DE ALIMENTOS ACUERDO A NORMATIVA VIGENTE
SE REQUIERE CAMBIO DE PLACA DE ENCHUFE PARA PLACAS DE INDUCCION ( Enchufe Schuko (tipo F o CEE 7/7)</t>
  </si>
  <si>
    <t>SE REQUIERE LIMPIEZA PROFUNDA, CON RETIRO DE GRASAS ADHERIDAS A PARTES.
SE REQUIERE MANTENIMIENTO PREVENTIVO.
SE REQUIERE CAMBIO DE PLACA DE ENCHUFE PARA PLACAS DE INDUCCION ( Enchufe Schuko (tipo F o CEE 7/7)</t>
  </si>
  <si>
    <t>SE REQUIERE MANTENIMIENTO PREVENTIVO Y LIMPIEZA INTEGRAL.
SE REQUIERE VERIFICACION Y AJUSTE DE PARAMETROS DE CONSERVACION DE ALIMENTOS ACUERDO A NORMATIVA VIGENTE
SE REQUIERE CAMBIO DE PLACA DE ENCHUFE PARA PLACAS DE INDUCCION ( Enchufe Schuko (tipo F o CEE 7/7)</t>
  </si>
  <si>
    <t>SE REQUIERE MANTENIMIENTO PREVENTIVO Y LIMPIEZA INTEGRAL.
SE REQUIERE CAMBIO DE PLACA DE ENCHUFE PARA PLACAS DE INDUCCION ( Enchufe Schuko (tipo F o CEE 7/7)</t>
  </si>
  <si>
    <t>MANTENIMIENTO PREVENTIVO Y LIMPIEZA INTEGRAL.
SE REQUIERE REVISION DE FUGAS REFRIGERANTE
SE REQUIERE LUBRICACION DE VENTILADORA DE CONDENSADOR
SE REQUIERE VERIFICACION Y AJUSTE DE PARAMETROS DE CONSERVACION DE ALIMENTOS  DE ACUERDO A NORMATIVA VIGENTE
SE REQUIERE CAMBIO DE CONECTOR MACHO DE CABLE ELECTRICO ( ROTURA DE CLAVIJA)
SE REQUIERE CAMBIO DE PLACA DE ENCHUFE PARA PLACAS DE INDUCCION ( Enchufe Schuko (tipo F o CEE 7/7)</t>
  </si>
  <si>
    <t>SE REQUIERE REEMPLAZO DEL EQUIPO, BAJA DEL BIEN, SE ADJUNTA INFORME TECNICO.</t>
  </si>
  <si>
    <t>BAJA</t>
  </si>
  <si>
    <t># DE INV</t>
  </si>
  <si>
    <t>ESTADO DEL EQUIPO</t>
  </si>
  <si>
    <t>Versión 5.0</t>
  </si>
  <si>
    <t>H-1</t>
  </si>
  <si>
    <t>ING. SARA PEREZ YAÑEZ</t>
  </si>
  <si>
    <t>GESTION II/2025</t>
  </si>
  <si>
    <t>H-2</t>
  </si>
  <si>
    <t>ING. VANIA ANTEZANA</t>
  </si>
  <si>
    <t>SALA DOCENTE</t>
  </si>
  <si>
    <t>VESTUARIOS HOMBRES Y MUJERES GASTRONOMIA</t>
  </si>
  <si>
    <t>AREA DE CIRCULACION</t>
  </si>
  <si>
    <t>KITCHENAID</t>
  </si>
  <si>
    <t xml:space="preserve">BATIDORA </t>
  </si>
  <si>
    <t>EXCELENTE</t>
  </si>
  <si>
    <t>MOLEDORA DE CARNE</t>
  </si>
  <si>
    <t>REFRACTOMETRO</t>
  </si>
  <si>
    <t>PROCESADOR DE ALIMENTOS</t>
  </si>
  <si>
    <t>PHILIPS</t>
  </si>
  <si>
    <t>HANNA</t>
  </si>
  <si>
    <t>34188
34189
34190
34191
34192
34193</t>
  </si>
  <si>
    <t>MESA METALICA CUADRADA INOX</t>
  </si>
  <si>
    <t>34076
34077
34046
34047
34075</t>
  </si>
  <si>
    <t>34599
34743
34600
34601
34073</t>
  </si>
  <si>
    <t>37327
37326</t>
  </si>
  <si>
    <t>34745
34746
34744</t>
  </si>
  <si>
    <t>34179
34180
34181
34182
34183
34184
34185</t>
  </si>
  <si>
    <t>46377
46375
46373
46378
46376
46374</t>
  </si>
  <si>
    <t>14298
2582
2584
2586
2588
2589</t>
  </si>
  <si>
    <t>34249
34738
34739</t>
  </si>
  <si>
    <t>35437
35438
34740</t>
  </si>
  <si>
    <t>35419
35417
35422
35420
35418
35421</t>
  </si>
  <si>
    <t>35415
35413
35411
35416
35414
35412</t>
  </si>
  <si>
    <t>35426
35424
35427
35425</t>
  </si>
  <si>
    <t>37323
37325</t>
  </si>
  <si>
    <t>35435
35436
35434</t>
  </si>
  <si>
    <t>35430
35428
35433
35431
35429
35432</t>
  </si>
  <si>
    <t>46383
46381
46379
46384
46382
46380</t>
  </si>
  <si>
    <t>13616
13617
2590
2592
2593</t>
  </si>
  <si>
    <t>34492
34495
34518
34741</t>
  </si>
  <si>
    <t>34566
34567
34568</t>
  </si>
  <si>
    <t>37316
37317
37318
37319</t>
  </si>
  <si>
    <t>34186
34187</t>
  </si>
  <si>
    <t>46385
46386
46387
46388</t>
  </si>
  <si>
    <t>PORTA BANDEJAS</t>
  </si>
  <si>
    <t>37284
37287
37290
37288
37286
37291</t>
  </si>
  <si>
    <t>37235
37233
37236
37234
37232</t>
  </si>
  <si>
    <t>37322
37320
37324
37321</t>
  </si>
  <si>
    <t>37258
37256
37257</t>
  </si>
  <si>
    <t>37216
37211
37219
37217
37220
37218</t>
  </si>
  <si>
    <t>46391
46389
46394
46392
46390
46393</t>
  </si>
  <si>
    <t>3476
3479
3480</t>
  </si>
  <si>
    <t>37245
37248
37246
37247</t>
  </si>
  <si>
    <t>37285
37283
37281
37284
37282
37280</t>
  </si>
  <si>
    <t>37230
37228
37231
37229
37227</t>
  </si>
  <si>
    <t>37254
37252
37255
37253</t>
  </si>
  <si>
    <t>37261
37262</t>
  </si>
  <si>
    <t>37215
37213
37211
37214
37212
37210</t>
  </si>
  <si>
    <t>37244
37242
13281
37243
37241</t>
  </si>
  <si>
    <t>46397
46400
46398
46396
46401
46399</t>
  </si>
  <si>
    <t>3699
3275
3287
3289
2595</t>
  </si>
  <si>
    <t>37278
37276
37274
37279
37277
37275</t>
  </si>
  <si>
    <t>37225
37223
37226
37224
37222</t>
  </si>
  <si>
    <t>37315
37296
37314
37295</t>
  </si>
  <si>
    <t>37259
37260</t>
  </si>
  <si>
    <t>37204
37209
37207
37205
37208
37206</t>
  </si>
  <si>
    <t xml:space="preserve">37237
37240
37238
37239
</t>
  </si>
  <si>
    <t>46404
46402
46405
46403
46395
46406</t>
  </si>
  <si>
    <t>3687
3695
3481
3497</t>
  </si>
  <si>
    <t>CPU DE ESCRITORIO</t>
  </si>
  <si>
    <t>SE REQUIERE ESTABILIZADOR DE ENERGIA, DEBIDO A QUE DENTRO DEL LABORATORIO SE TIENE EQUIPOS DE FUERZA</t>
  </si>
  <si>
    <t>MONITOR LCD</t>
  </si>
  <si>
    <t>2791
14464</t>
  </si>
  <si>
    <t>DESPORTILLADO EN LOS BORDES
SE REQUIERE EL CAMBIO POR MESA METALICA DE ACERO INOXIDABLE YA QUE SOPORTA EL ABATIDOR DE TEMPERATURA MISMA QUE PRESENTA CAMBIOS BRUSCOS DE DICHA TEMPERATURA DE 1,80 MT X80 CM</t>
  </si>
  <si>
    <t xml:space="preserve">SE REQUIERE CAMBIO Y/O RECUBIRIMIENTO, EL MISMO SE ENCUENTRA DESPORTILLADO EN EL BORDE QUE TIENE CONTACTO CON EL PISO POR HUMEDAD
</t>
  </si>
  <si>
    <t>401,406,423,21933,21934,21935,21937,21938,21940,21952,21955,21956,21957,21958,21960</t>
  </si>
  <si>
    <t>SE REQUIERE BARNIZADO DE PARTES DE MADERA, PINTADO DE PARTES METALICAS Y CAMBIO DE GOMITAS EN PATITAS DE SOPORTE.</t>
  </si>
  <si>
    <t>SE REQUIERE RECARGA DE 10  KG DE GLP</t>
  </si>
  <si>
    <t>SE REQUIERE CONEXIÓN HDMI A CAMARA DE VIDEO</t>
  </si>
  <si>
    <t>CAMARA FILMADORA DE VIDEO</t>
  </si>
  <si>
    <t>44905
44906
44907
44908</t>
  </si>
  <si>
    <t>34951
34952</t>
  </si>
  <si>
    <t>MANTENIMIENTO PREVENTIVA Y LIMPIEZA PROFUNDA. SE REQUIERE VERIFICACION DEL LIQUIDO DE REFRIGERACION.</t>
  </si>
  <si>
    <t>36737
36740
36738
36736
36741
36739</t>
  </si>
  <si>
    <t>36770,36759,36748,37901,36768,36757,36746,36777,36766,36755,36744,36775,36764,36753,36742,36773,36762,36751,36771,36760,36749,36769,36758,36747,36778,36767,36756,36745,36776,36765,36754,36743,36774,36763,36752,36772,36761,36750</t>
  </si>
  <si>
    <t>17613
18049</t>
  </si>
  <si>
    <t>SE REQUIERE LIMPIEZA DE FILTROS DEBIDO AL USO Y LA CALIDAD DE AGUA , POR TAL MOTIVO EL AGUA FILTRADA PRESENTA UN COLOR TURBIO.</t>
  </si>
  <si>
    <t>36779,36780,36781,37900</t>
  </si>
  <si>
    <t>SE REQUIERE MANTENIMIENTO PREVENTIVO A COCINAS.
SE REQUIERE LIMPIEZA PROFUNDA, CON RETIRO DE GRASAS ADHERIDAS A PARTES.
SE REQUIERE CAMBIO DE 2 CHAPAS</t>
  </si>
  <si>
    <t>SE REQUIERE PINTADO DE PARED NB 58002:2020
UBICACIÓN: ECONOMATO</t>
  </si>
  <si>
    <t>SE REQUIERE PINTADO DE PARED NB 58002:2020
UBICACIÓN: PUENTE DE MEDICION Y REGULACION</t>
  </si>
  <si>
    <t>SE REQUIERE PINTADO DE PARED NB 58002:2020
UBICACIÓN: PASILLO H-7</t>
  </si>
  <si>
    <t>EXTINTOR DE 25 KG MARCA ABC</t>
  </si>
  <si>
    <t>SE REQUIERE PINTADO DE PARED NB 58002:2020
UBICACIÓN: TANQUES DE GLP</t>
  </si>
  <si>
    <t>SE REQUIERE PINTADO DE PARED NB 58002:2020
UBICACIÓN: PASILLO H-105</t>
  </si>
  <si>
    <t>OFICINAS COORDINADOR</t>
  </si>
  <si>
    <t>12789
12792</t>
  </si>
  <si>
    <t>37273
37271
37269
37267
37272
37270
37268
37266</t>
  </si>
  <si>
    <t>34272,34270, 26431, 34273,34271,34274</t>
  </si>
  <si>
    <t>HP</t>
  </si>
  <si>
    <t>35196
35197</t>
  </si>
  <si>
    <t>39438
33956</t>
  </si>
  <si>
    <t>MUEBLE DE MADERA PARA COMPUTADORA</t>
  </si>
  <si>
    <t>39691, 33957,33958,33959,33960,33962,39432,39433,39434,39435,39436,39437</t>
  </si>
  <si>
    <t>REQUIERE FIJACION DE SOPORTES, SE REQUIERE FIJACION Y SUJECION DE PARTES</t>
  </si>
  <si>
    <t>REQUIERE PINTURA</t>
  </si>
  <si>
    <t>34166,34167,34168,34169,34170,34171,34172,34173,34174,34175,35542,35543,35544,35545,35546,36052,36053,36054,36055,3605638798,38799,38800,38801,38802,38803,38804,45024,45025,45026,4502745028,45029,4503045031,45032,45033</t>
  </si>
  <si>
    <t>APARATO TELEFONICO</t>
  </si>
  <si>
    <t xml:space="preserve">NECESITA MANTENIMIENTO PREVENTIVO.
SE REQUIERE MANTENIMIENTO ELECTRICO DE TABLERO ELECTRICO
OPTIMIZACION DEL TABLERO ELECTRICO CON BUZZER PARA FALTA DE FASE
LIMPIEZA Y DESINFECCION INTERNA Y EXTERNA DE LA CAMARA
SE REQUIERE CORTINA DE LAMAS PVC CONSIGUIENDO PARA REDUCIR LAS POSIBLES PERDIDAS O TRANSFERENCIAS INDESEADAS DE TEMPERATURA </t>
  </si>
  <si>
    <t>SE REQUIERE CALIBRACION PERIODICA SEMESTRAL DEBIDO AL USO CONTINUO DEL EQUIPO Y PINTADO DE BASE</t>
  </si>
  <si>
    <t>REQUIERE REFACCION, PINTURA, SOLDADURA,CAMBIO DE PUERTAS, SOLDADURA DE AGARRADOR DE CANDADO.</t>
  </si>
  <si>
    <t xml:space="preserve">MANTENIMIENTO PREVENTIVO .LIMPIEZA DE LOS ENGRANAJES Y RETIRO DE PARTES ADHERIDAS.
</t>
  </si>
  <si>
    <t>MANTENIMIENTO CORRECTIVO .LIMPIEZA DE LOS ENGRANAJES Y RETIRO DE PARTES ADHERIDAS.
CAMBIO DE CUCHILLA DE MOLEDORA #12</t>
  </si>
  <si>
    <t>EL EJE SE ENCUENTRA ROTO DEBIDO AL USO, NO ACOPLA EL ENGRANAJE PLANETARIO ,SE REQUIERE CAMBIO DE MOTOR, EL EQUIPO NO ENCIENDE. EN CASO DE NO ENCONTRAR REPUESTO SE RECOMIENDA DAR DE  BAJA AL EQUIPO.</t>
  </si>
  <si>
    <t xml:space="preserve">MANTENIMIENTO CORRECTIVO, REQUIERE DE CAMBIO DE PIEZAS INTERNAS, DESGASTE EN ACOPLES, DESGASTE EN BUJES DE LAS CUCHILLAS, SE REQUIERE CON URGENCIA FILAMENTO PARA IMPRESIÓN Y FABRICACION DE BUJES DE COBRE, LIMPIEZA DE LOS ENGRANAJES Y RETIRO DE PARTES ADHERIDAS. </t>
  </si>
  <si>
    <t>SOUS VIDE</t>
  </si>
  <si>
    <t>METVISA</t>
  </si>
  <si>
    <t>MANTENIMIENTO PREVENTIVO, LIMPIEZA PROFUNDA, RETIRO DE GRASAS ADHERIDAS.</t>
  </si>
  <si>
    <t xml:space="preserve">MANTENIMIENTO PREVENTIVO, LIMPIEZA PROFUNDA, RETIRO DE GRASAS ADHERIDAS.
</t>
  </si>
  <si>
    <t xml:space="preserve">          </t>
  </si>
  <si>
    <t>SE REQUIERE MANTENIMIENTO CORRECTIVO. NO FUNCIONA EN CASO DE NO ENCONTRAR REPUESTO SE RECOMIENDA DAR DE  BAJA AL EQUIPO.</t>
  </si>
  <si>
    <t>REQUIERE LIMPIEZA PROFUNDA
MANTENIMIENTO PREVENTIVO ELECTRICO                                                                             
SE REQUIERE CAMBIO DE CHAPA
SE REQUIERE CAMBIO DE UBICACIÓN H-7.
PINTADO DE PARTES METALICAS DE EQUIPO</t>
  </si>
  <si>
    <t>SE REQUIERE MANTENIMIENTO PREVENTIVO Y LIMPIEZA INTEGRAL.
SE REQUIERE REVISION DE FUGAS REFRIGERANTE. SELLAMIENTO DE MICROFUGAS.
SE REQUIERE LUBRICACION VENTILADORA DE CONDENSADOR
SE REQUIERE VERIFICACION Y AJUSTE DE PARAMETROS DE CONSERVACION DE ALIMENTOS ACUERDO A NORMATIVA VIGENTE</t>
  </si>
  <si>
    <t>SE REQUIERE CAMBIO DE QUEMADOR.
SE REQUIERE AJUSTE DE FIJACION DE CHISPERO Y SENSOR DE LLAMA.
SE REQUIERE MANTENIMIENTO PREVENTIVO: AJUSTE DE PARTES, VERIFICACION DEL SISTEMA ELECTRICO, LIMPIEZA INTEGRAL DE PARTES, LUBRICACION DE PARTES MECANICAS.
SE REQUIERE LIMPIEZA  ELECTRICA DE CONTACTORES, PULSADORES Y CONEXIONES ELECTRICA.
PRESENTA VIBRACION , SE REQUIERE REAJUSTE Y ALINEADO  DE VENTILADOR
SE REQUIIERE BALANCEO DINAMICO DEL MOTOR PARA EVITAR VIBRACIONES
SE REQUIERE LIMPIEZA PROFUNDA, CON RETIRO DE GRASAS ADHERIDAS A PARTES.</t>
  </si>
  <si>
    <t>SE REQUIERE AJUSTE DE FIJACION DE CHISPERO Y SENSOR DE LLAMA.
SE REQUIERE MANTENIMIENTO PREVENTIVO: AJUSTE DE PARTES, VERIFICACION DEL SISTEMA ELECTRICO, LIMPIEZA INTEGRAL DE PARTES, LUBRICACION DE PARTES MECANICAS.
SE REQUIERE LIMPIEZA  ELECTRICA DE CONTACTORES, PULSADORES Y CONEXIONES ELECTRICA.
PRESENTA VIBRACION , SE REQUIERE REAJUSTE Y ALINEADO  DE VENTILADOR
SE REQUIIERE BALANCEO DINAMICO DEL MOTOR PARA EVITAR VIBRACIONES
SE REQUIERE LIMPIEZA PROFUNDA, CON RETIRO DE GRASAS ADHERIDAS A PARTES.
SE REQUIERE 6 BANDEJAS PROPIAS DE ACERO INOXIDABLE</t>
  </si>
  <si>
    <t>SE REQUIERE AJUSTE DE FIJACION DE CHISPERO Y SENSOR DE LLAMA.
SE REQUIERE MANTENIMIENTO PREVENTIVO: AJUSTE DE PARTES, VERIFICACION DEL SISTEMA ELECTRICO, LIMPIEZA INTEGRAL DE PARTES, LUBRICACION DE PARTES MECANICAS.
SE REQUIERE LIMPIEZA  ELECTRICA DE CONTACTORES, PULSADORES Y CONEXIONES ELECTRICA.
PRESENTA VIBRACION , SE REQUIERE REAJUSTE Y ALINEADO  DE VENTILADOR
SE REQUIIERE BALANCEO DINAMICO DEL MOTOR PARA EVITAR VIBRACIONES
SE REQUIERE LIMPIEZA PROFUNDA, CON RETIRO DE GRASAS ADHERIDAS A PARTES.
SE REQUIERE REEMPLAZO DE LUMINARIAS DEBIDO AL USO</t>
  </si>
  <si>
    <t>SE REQUIERE AJUSTE DE FIJACION DE CHISPERO Y SENSOR DE LLAMA.
SE REQUIERE MANTENIMIENTO PREVENTIVO: AJUSTE DE PARTES, VERIFICACION DEL SISTEMA ELECTRICO, LIMPIEZA INTEGRAL DE PARTES, LUBRICACION DE PARTES MECANICAS.
SE REQUIERE LIMPIEZA  ELECTRICA DE CONTACTORES, PULSADORES Y CONEXIONES ELECTRICA.
PRESENTA VIBRACION , SE REQUIERE REAJUSTE Y ALINEADO  DE VENTILADOR
SE REQUIIERE BALANCEO DINAMICO DEL MOTOR PARA EVITAR VIBRACIONES
SE REQUIERE LIMPIEZA PROFUNDA, CON RETIRO DE GRASAS ADHERIDAS A PARTES.
SE REQUIERE REEMPLAZO DE LUMINARIAS DEBIDO AL USO
SE REQUIERE CAMBIO DE ELECTROVALVULA, CAMBIO DE CHISPERO Y CAMBIO DE CONTROLADOR</t>
  </si>
  <si>
    <t>SE REQUIERE MANTENIMIENTO PREVENTIVO: AJUSTE DE PARTES, VERIFICACION DEL SISTEMA ELECTRICO, LIMPIEZA INTEGRAL DE PARTES, LUBRICACION DE PARTES MECANICAS.
SE REQUIERE LIMPIEZA  ELECTRICA DE CONTACTORES, PULSADORES Y CONEXIONES ELECTRICA.
SE REQUIERE LIMPIEZA PROFUNDA, CON RETIRO DE GRASAS ADHERIDAS A PARTES.
SE REQUIERE CAMBIO DE PLACA DE ENCHUFE PARA PLACAS DE INDUCCION ( Enchufe Schuko (tipo F o CEE 7/7)</t>
  </si>
  <si>
    <t>MANTENIMIENTO PREVENTIVO, LIMPIEZA PROFUNDA CON RETIRO DE GRASAS ADHERIDAS A PARTES.
SE REQUIERE CAMBIO DE TAPAS DE LICUADORA 
SE REQUIERE CAMBIO DE CUCHILLAS PICAS HIELOS DE 6 ASPAS
SE REQUIERE CAMBIO DE O-RING</t>
  </si>
  <si>
    <t>SE REQUIERE DESENGRASADO DE CAMARAS DE LAVAPLATOS.
SE REQUIERE LIMPIEZA Y AJUSTE DE GRIFERIA
SE REQUIERE CAMBIO DE DISPESADORES DE DETERGENTE (1 LITRO)</t>
  </si>
  <si>
    <t>MANTENIMIENTO CORRECTIVO REQUIERE CAMBIO DE CARBONES, REBOBINADO DE MOTOR INTERNO, CAMBIO DE GOMAS O-RING DE VASO DE LICUADORA, CAMBIO DE CUCHILLAS PICA HIELO DE 6 ASPAS, CAMBIO DE TAPA DE PLASTICO. EN CASO DE NO ENCONTRAR REPUESTOS Y DE NO PODER REALIZARSE LOS TRABAJOS SE SUGIERE BAJA DEL ITEM.</t>
  </si>
  <si>
    <t>MANTENIMIENTO PREVENTIVO , CAMBIO DE GOMAS DE VASO DE LICUADORA, CAMBIO DE CUCHILLAS PICA HIELO DE 6 ASPAS, CAMBIO DE TAPA DE PLASTICO</t>
  </si>
  <si>
    <t>SE REQUIRE MANTENIMIENTO PREVENTIVO Y LIMPIEZA PROFUNDA DEL FERMENTADOR.
SE REQUIERE MANTENIMIENTO ELECTRICO DE SENSORES, CONTACTORES, PULSADORES Y CONEXIONES ELECTRICA.
SE REQUIERE CAMBIO DE PLACA DE ENCHUFE PARA PLACAS DE INDUCCION ( Enchufe Schuko (tipo F o CEE 7/7)</t>
  </si>
  <si>
    <t>MANTENIMIENTO PREVENTIVO, LIMPIEZA PROFUNDA.
SE REQUIERE CAMBIO DE PLACA DE ENCHUFE PARA PLACAS DE INDUCCION ( Enchufe Schuko (tipo F o CEE 7/7)
SE REQUIERE SOPORTE PROPIO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</si>
</sst>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s-200A]\ #,##0.00"/>
  </numFmts>
  <fonts count="15" x14ac:knownFonts="1">
    <font>
      <sz val="10"/>
      <name val="Arial"/>
    </font>
    <font>
      <b/>
      <sz val="10"/>
      <name val="Arial"/>
      <family val="2"/>
    </font>
    <font>
      <b/>
      <sz val="12"/>
      <name val="Arial"/>
      <family val="2"/>
    </font>
    <font>
      <sz val="10"/>
      <name val="Arial"/>
      <family val="2"/>
    </font>
    <font>
      <u/>
      <sz val="10"/>
      <name val="Arial"/>
      <family val="2"/>
    </font>
    <font>
      <sz val="12"/>
      <name val="Arial"/>
      <family val="2"/>
    </font>
    <font>
      <b/>
      <i/>
      <sz val="12"/>
      <name val="Arial"/>
      <family val="2"/>
    </font>
    <font>
      <i/>
      <sz val="10"/>
      <name val="Arial"/>
      <family val="2"/>
    </font>
    <font>
      <b/>
      <sz val="11"/>
      <name val="Arial"/>
      <family val="2"/>
    </font>
    <font>
      <sz val="11"/>
      <name val="Arial"/>
      <family val="2"/>
    </font>
    <font>
      <b/>
      <sz val="16"/>
      <name val="Arial"/>
      <family val="2"/>
    </font>
    <font>
      <b/>
      <u/>
      <sz val="12"/>
      <name val="Arial"/>
      <family val="2"/>
    </font>
    <font>
      <b/>
      <sz val="11"/>
      <name val="Calibri"/>
      <family val="2"/>
    </font>
    <font>
      <b/>
      <sz val="14"/>
      <name val="Arial"/>
      <family val="2"/>
    </font>
    <fon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s>
  <borders count="11">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54">
    <xf numFmtId="0" fontId="0" fillId="0" borderId="0" xfId="0"/>
    <xf numFmtId="0" fontId="3" fillId="0" borderId="0" xfId="0" applyFont="1" applyAlignment="1">
      <alignment horizontal="center"/>
    </xf>
    <xf numFmtId="0" fontId="3" fillId="0" borderId="1" xfId="0" applyFont="1" applyBorder="1" applyAlignment="1">
      <alignment horizontal="center"/>
    </xf>
    <xf numFmtId="0" fontId="1" fillId="0" borderId="0" xfId="0" applyFont="1" applyAlignment="1">
      <alignment horizontal="left"/>
    </xf>
    <xf numFmtId="0" fontId="3" fillId="0" borderId="2" xfId="0" applyFont="1" applyBorder="1" applyAlignment="1">
      <alignment horizontal="center"/>
    </xf>
    <xf numFmtId="0" fontId="0" fillId="0" borderId="0" xfId="0" applyAlignment="1">
      <alignment horizontal="center"/>
    </xf>
    <xf numFmtId="164" fontId="3" fillId="0" borderId="0" xfId="0" applyNumberFormat="1" applyFont="1"/>
    <xf numFmtId="164" fontId="3" fillId="0" borderId="0" xfId="0" applyNumberFormat="1" applyFont="1" applyAlignment="1">
      <alignment horizontal="right"/>
    </xf>
    <xf numFmtId="0" fontId="5" fillId="0" borderId="0" xfId="0" applyFont="1" applyAlignment="1">
      <alignment horizontal="center"/>
    </xf>
    <xf numFmtId="164" fontId="2" fillId="0" borderId="0" xfId="0" applyNumberFormat="1" applyFont="1" applyAlignment="1">
      <alignment horizontal="center"/>
    </xf>
    <xf numFmtId="0" fontId="2" fillId="0" borderId="0" xfId="0" applyFont="1" applyAlignment="1">
      <alignment horizontal="right"/>
    </xf>
    <xf numFmtId="0" fontId="0" fillId="0" borderId="2" xfId="0" applyBorder="1" applyAlignment="1">
      <alignment horizontal="center"/>
    </xf>
    <xf numFmtId="0" fontId="9" fillId="0" borderId="0" xfId="0" applyFont="1"/>
    <xf numFmtId="0" fontId="0" fillId="0" borderId="2" xfId="0" applyBorder="1" applyAlignment="1">
      <alignment vertical="center"/>
    </xf>
    <xf numFmtId="0" fontId="0" fillId="0" borderId="2" xfId="0" applyBorder="1" applyAlignment="1">
      <alignment horizontal="center" vertical="center"/>
    </xf>
    <xf numFmtId="164" fontId="0" fillId="0" borderId="2" xfId="0" applyNumberFormat="1" applyBorder="1" applyAlignment="1">
      <alignment vertical="center"/>
    </xf>
    <xf numFmtId="0" fontId="3" fillId="0" borderId="2" xfId="0" applyFont="1" applyBorder="1" applyAlignment="1">
      <alignment horizontal="center" vertical="center"/>
    </xf>
    <xf numFmtId="0" fontId="0" fillId="0" borderId="2" xfId="0" applyBorder="1" applyAlignment="1">
      <alignment vertical="center" wrapText="1"/>
    </xf>
    <xf numFmtId="0" fontId="3" fillId="0" borderId="1" xfId="0" applyFont="1" applyBorder="1" applyAlignment="1">
      <alignment horizontal="center" vertical="center"/>
    </xf>
    <xf numFmtId="164" fontId="3" fillId="0" borderId="2" xfId="0" applyNumberFormat="1" applyFont="1" applyBorder="1"/>
    <xf numFmtId="0" fontId="3" fillId="0" borderId="2" xfId="0" applyFont="1" applyBorder="1"/>
    <xf numFmtId="0" fontId="3" fillId="0" borderId="2" xfId="0" applyFont="1" applyBorder="1" applyAlignment="1">
      <alignment vertical="center" wrapText="1"/>
    </xf>
    <xf numFmtId="164" fontId="3" fillId="0" borderId="2" xfId="0" applyNumberFormat="1" applyFont="1" applyBorder="1" applyAlignment="1">
      <alignment vertical="center"/>
    </xf>
    <xf numFmtId="0" fontId="2" fillId="0" borderId="0" xfId="0" applyFont="1" applyAlignment="1">
      <alignment horizontal="left" wrapText="1"/>
    </xf>
    <xf numFmtId="0" fontId="0" fillId="0" borderId="0" xfId="0" applyAlignment="1">
      <alignment wrapText="1"/>
    </xf>
    <xf numFmtId="0" fontId="12" fillId="0" borderId="2" xfId="0" applyFont="1" applyBorder="1" applyAlignment="1">
      <alignment horizontal="left" vertical="center" wrapText="1"/>
    </xf>
    <xf numFmtId="0" fontId="3" fillId="0" borderId="2" xfId="0" applyFont="1" applyBorder="1" applyAlignment="1">
      <alignment horizontal="left" vertical="center" wrapText="1"/>
    </xf>
    <xf numFmtId="0" fontId="3" fillId="0" borderId="2" xfId="0" applyFont="1" applyBorder="1" applyAlignment="1">
      <alignment horizontal="left" wrapText="1"/>
    </xf>
    <xf numFmtId="0" fontId="3" fillId="0" borderId="2" xfId="0" applyFont="1" applyBorder="1" applyAlignment="1">
      <alignment wrapText="1"/>
    </xf>
    <xf numFmtId="0" fontId="3" fillId="0" borderId="0" xfId="0" applyFont="1"/>
    <xf numFmtId="0" fontId="5" fillId="0" borderId="0" xfId="0" applyFont="1"/>
    <xf numFmtId="0" fontId="1" fillId="0" borderId="0" xfId="0" applyFont="1" applyAlignment="1">
      <alignment horizontal="left" wrapText="1"/>
    </xf>
    <xf numFmtId="0" fontId="0" fillId="0" borderId="0" xfId="0" applyAlignment="1">
      <alignment horizontal="left" wrapText="1"/>
    </xf>
    <xf numFmtId="0" fontId="5" fillId="0" borderId="0" xfId="0" applyFont="1" applyAlignment="1">
      <alignment horizontal="left" wrapText="1"/>
    </xf>
    <xf numFmtId="0" fontId="5" fillId="0" borderId="0" xfId="0" applyFont="1" applyAlignment="1">
      <alignment wrapText="1"/>
    </xf>
    <xf numFmtId="0" fontId="3" fillId="0" borderId="2" xfId="0" applyFont="1" applyBorder="1" applyAlignment="1">
      <alignment horizontal="center" wrapText="1"/>
    </xf>
    <xf numFmtId="0" fontId="2" fillId="0" borderId="0" xfId="0" applyFont="1" applyAlignment="1">
      <alignment horizontal="center"/>
    </xf>
    <xf numFmtId="0" fontId="1" fillId="0" borderId="0" xfId="0" applyFont="1" applyAlignment="1">
      <alignment horizontal="left" vertical="center"/>
    </xf>
    <xf numFmtId="0" fontId="0" fillId="0" borderId="0" xfId="0" applyAlignment="1">
      <alignment vertical="center"/>
    </xf>
    <xf numFmtId="0" fontId="3" fillId="0" borderId="0" xfId="0" applyFont="1" applyAlignment="1">
      <alignment horizontal="center" vertical="center"/>
    </xf>
    <xf numFmtId="0" fontId="7" fillId="0" borderId="0" xfId="0" applyFont="1" applyAlignment="1">
      <alignment vertical="center" wrapText="1"/>
    </xf>
    <xf numFmtId="0" fontId="0" fillId="0" borderId="0" xfId="0" applyAlignment="1">
      <alignment horizontal="center" vertical="center"/>
    </xf>
    <xf numFmtId="164" fontId="3" fillId="0" borderId="0" xfId="0" applyNumberFormat="1" applyFont="1" applyAlignment="1">
      <alignment vertical="center"/>
    </xf>
    <xf numFmtId="0" fontId="0" fillId="0" borderId="0" xfId="0" applyAlignment="1">
      <alignment vertical="center" wrapText="1"/>
    </xf>
    <xf numFmtId="0" fontId="1" fillId="0" borderId="0" xfId="0" applyFont="1" applyAlignment="1">
      <alignment horizontal="left" vertical="center" wrapText="1"/>
    </xf>
    <xf numFmtId="0" fontId="7"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5" fillId="0" borderId="0" xfId="0" applyFont="1" applyAlignment="1">
      <alignment horizontal="left" vertical="center" wrapText="1"/>
    </xf>
    <xf numFmtId="164" fontId="0" fillId="0" borderId="2" xfId="0" applyNumberFormat="1" applyBorder="1" applyAlignment="1">
      <alignment vertical="center" wrapText="1"/>
    </xf>
    <xf numFmtId="0" fontId="3" fillId="0" borderId="2" xfId="0" applyFont="1" applyBorder="1" applyAlignment="1">
      <alignment horizontal="center" vertical="center" wrapText="1"/>
    </xf>
    <xf numFmtId="0" fontId="3" fillId="0" borderId="0" xfId="0" applyFont="1" applyAlignment="1">
      <alignment horizontal="center" wrapText="1"/>
    </xf>
    <xf numFmtId="0" fontId="3" fillId="0" borderId="2" xfId="0" applyFont="1" applyBorder="1" applyAlignment="1">
      <alignment vertical="center"/>
    </xf>
    <xf numFmtId="0" fontId="0" fillId="0" borderId="0" xfId="0" applyAlignment="1">
      <alignment horizontal="left"/>
    </xf>
    <xf numFmtId="0" fontId="3" fillId="0" borderId="2" xfId="0" applyFont="1" applyBorder="1" applyAlignment="1">
      <alignment horizontal="left"/>
    </xf>
    <xf numFmtId="0" fontId="5" fillId="0" borderId="0" xfId="0" applyFont="1" applyAlignment="1">
      <alignment horizontal="left"/>
    </xf>
    <xf numFmtId="0" fontId="3" fillId="0" borderId="2" xfId="0" applyFont="1" applyBorder="1" applyAlignment="1">
      <alignment horizontal="left"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vertical="center"/>
    </xf>
    <xf numFmtId="164" fontId="0" fillId="0" borderId="0" xfId="0" applyNumberFormat="1" applyAlignment="1">
      <alignment vertical="center"/>
    </xf>
    <xf numFmtId="0" fontId="3" fillId="0" borderId="0" xfId="0" applyFont="1" applyAlignment="1">
      <alignment horizontal="center" vertical="center" wrapText="1"/>
    </xf>
    <xf numFmtId="0" fontId="6" fillId="0" borderId="0" xfId="0" applyFont="1" applyAlignment="1">
      <alignment horizontal="center" wrapText="1"/>
    </xf>
    <xf numFmtId="0" fontId="2" fillId="0" borderId="0" xfId="0" applyFont="1" applyAlignment="1">
      <alignment horizontal="right" wrapText="1"/>
    </xf>
    <xf numFmtId="0" fontId="2" fillId="0" borderId="0" xfId="0" applyFont="1" applyAlignment="1">
      <alignment horizontal="right" vertical="center" wrapText="1"/>
    </xf>
    <xf numFmtId="0" fontId="0" fillId="0" borderId="0" xfId="0" applyAlignment="1">
      <alignment horizontal="center" vertical="center" wrapText="1"/>
    </xf>
    <xf numFmtId="164" fontId="3" fillId="0" borderId="0" xfId="0" applyNumberFormat="1" applyFont="1" applyAlignment="1">
      <alignment vertical="center" wrapText="1"/>
    </xf>
    <xf numFmtId="0" fontId="0" fillId="0" borderId="2" xfId="0" applyBorder="1" applyAlignment="1">
      <alignment horizontal="center" vertical="center" wrapText="1"/>
    </xf>
    <xf numFmtId="164" fontId="2" fillId="0" borderId="0" xfId="0" applyNumberFormat="1" applyFont="1" applyAlignment="1">
      <alignment horizontal="center" vertical="center" wrapText="1"/>
    </xf>
    <xf numFmtId="164" fontId="0" fillId="0" borderId="0" xfId="0" applyNumberFormat="1" applyAlignment="1">
      <alignment vertical="center" wrapText="1"/>
    </xf>
    <xf numFmtId="164" fontId="2" fillId="0" borderId="0" xfId="0" applyNumberFormat="1" applyFont="1" applyAlignment="1">
      <alignment horizontal="center" wrapText="1"/>
    </xf>
    <xf numFmtId="0" fontId="0" fillId="2" borderId="2" xfId="0" applyFill="1" applyBorder="1" applyAlignment="1">
      <alignment horizontal="center" vertical="center" wrapText="1"/>
    </xf>
    <xf numFmtId="164" fontId="3" fillId="0" borderId="2" xfId="0" applyNumberFormat="1" applyFont="1" applyBorder="1" applyAlignment="1">
      <alignment horizontal="left"/>
    </xf>
    <xf numFmtId="164" fontId="3" fillId="0" borderId="0" xfId="0" applyNumberFormat="1" applyFont="1" applyAlignment="1">
      <alignment horizontal="center"/>
    </xf>
    <xf numFmtId="164" fontId="3" fillId="0" borderId="2" xfId="0" applyNumberFormat="1" applyFont="1" applyBorder="1" applyAlignment="1">
      <alignment horizontal="center"/>
    </xf>
    <xf numFmtId="0" fontId="3" fillId="0" borderId="0" xfId="0" applyFont="1" applyAlignment="1">
      <alignment wrapText="1"/>
    </xf>
    <xf numFmtId="0" fontId="3"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left" wrapText="1"/>
    </xf>
    <xf numFmtId="164" fontId="3" fillId="0" borderId="2" xfId="0" applyNumberFormat="1" applyFont="1" applyBorder="1" applyAlignment="1">
      <alignment horizontal="center" vertical="center"/>
    </xf>
    <xf numFmtId="0" fontId="3" fillId="0" borderId="3" xfId="0" applyFont="1" applyBorder="1" applyAlignment="1">
      <alignment horizontal="center" vertical="center" wrapText="1"/>
    </xf>
    <xf numFmtId="0" fontId="0" fillId="0" borderId="3" xfId="0" applyBorder="1" applyAlignment="1">
      <alignment vertical="center" wrapText="1"/>
    </xf>
    <xf numFmtId="164" fontId="0" fillId="0" borderId="3" xfId="0" applyNumberFormat="1" applyBorder="1" applyAlignment="1">
      <alignment vertical="center" wrapText="1"/>
    </xf>
    <xf numFmtId="0" fontId="0" fillId="0" borderId="3" xfId="0" applyBorder="1" applyAlignment="1">
      <alignment horizontal="center" vertical="center" wrapText="1"/>
    </xf>
    <xf numFmtId="0" fontId="3" fillId="0" borderId="3" xfId="0" applyFont="1" applyBorder="1" applyAlignment="1">
      <alignment horizontal="lef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14" fontId="2" fillId="0" borderId="0" xfId="0" applyNumberFormat="1" applyFont="1" applyAlignment="1">
      <alignment horizontal="right" wrapText="1"/>
    </xf>
    <xf numFmtId="14" fontId="2" fillId="0" borderId="0" xfId="0" applyNumberFormat="1" applyFont="1" applyAlignment="1">
      <alignment horizontal="left" wrapText="1"/>
    </xf>
    <xf numFmtId="0" fontId="1" fillId="0" borderId="0" xfId="0" applyFont="1" applyAlignment="1">
      <alignment horizontal="right" vertical="center" wrapText="1"/>
    </xf>
    <xf numFmtId="0" fontId="7" fillId="0" borderId="0" xfId="0" applyFont="1" applyAlignment="1">
      <alignment horizontal="right" vertical="center" wrapText="1"/>
    </xf>
    <xf numFmtId="0" fontId="2" fillId="0" borderId="5" xfId="0" applyFont="1" applyBorder="1" applyAlignment="1">
      <alignment horizontal="right" vertical="center" wrapText="1"/>
    </xf>
    <xf numFmtId="0" fontId="0" fillId="0" borderId="3" xfId="0" applyBorder="1" applyAlignment="1">
      <alignment horizontal="right" vertical="center" wrapText="1"/>
    </xf>
    <xf numFmtId="0" fontId="0" fillId="0" borderId="2" xfId="0" applyBorder="1" applyAlignment="1">
      <alignment horizontal="right" vertical="center" wrapText="1"/>
    </xf>
    <xf numFmtId="0" fontId="3" fillId="0" borderId="2" xfId="0" applyFont="1" applyBorder="1" applyAlignment="1">
      <alignment horizontal="right" vertical="center" wrapText="1"/>
    </xf>
    <xf numFmtId="0" fontId="0" fillId="0" borderId="0" xfId="0" applyAlignment="1">
      <alignment horizontal="right" vertical="center" wrapText="1"/>
    </xf>
    <xf numFmtId="0" fontId="0" fillId="3" borderId="2" xfId="0" applyFill="1" applyBorder="1" applyAlignment="1">
      <alignment horizontal="center" vertical="center"/>
    </xf>
    <xf numFmtId="0" fontId="0" fillId="0" borderId="2" xfId="0" applyBorder="1" applyAlignment="1">
      <alignment horizontal="right"/>
    </xf>
    <xf numFmtId="0" fontId="0" fillId="0" borderId="2" xfId="0" applyBorder="1" applyAlignment="1">
      <alignment horizontal="right" vertical="center"/>
    </xf>
    <xf numFmtId="0" fontId="0" fillId="0" borderId="0" xfId="0" applyAlignment="1">
      <alignment horizontal="right"/>
    </xf>
    <xf numFmtId="0" fontId="0" fillId="2" borderId="2" xfId="0" applyFill="1" applyBorder="1" applyAlignment="1">
      <alignment horizontal="right" vertical="center" wrapText="1"/>
    </xf>
    <xf numFmtId="164" fontId="3" fillId="0" borderId="0" xfId="0" applyNumberFormat="1" applyFont="1" applyAlignment="1">
      <alignment horizontal="right" vertical="center" wrapText="1"/>
    </xf>
    <xf numFmtId="164" fontId="3" fillId="0" borderId="2" xfId="0" applyNumberFormat="1" applyFont="1" applyBorder="1" applyAlignment="1">
      <alignment horizontal="right" vertical="center"/>
    </xf>
    <xf numFmtId="0" fontId="3" fillId="0" borderId="2" xfId="0" applyFont="1" applyBorder="1" applyAlignment="1">
      <alignment horizontal="right"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1" fillId="2" borderId="0" xfId="0" applyFont="1" applyFill="1" applyAlignment="1">
      <alignment horizontal="right" vertical="center" wrapText="1"/>
    </xf>
    <xf numFmtId="0" fontId="7" fillId="2" borderId="0" xfId="0" applyFont="1" applyFill="1" applyAlignment="1">
      <alignment horizontal="right" vertical="center" wrapText="1"/>
    </xf>
    <xf numFmtId="14" fontId="2" fillId="2" borderId="0" xfId="0" applyNumberFormat="1" applyFont="1" applyFill="1" applyAlignment="1">
      <alignment horizontal="right" wrapText="1"/>
    </xf>
    <xf numFmtId="0" fontId="2" fillId="2" borderId="0" xfId="0" applyFont="1" applyFill="1" applyAlignment="1">
      <alignment horizontal="right" vertical="center" wrapText="1"/>
    </xf>
    <xf numFmtId="0" fontId="2" fillId="2" borderId="8" xfId="0" applyFont="1" applyFill="1" applyBorder="1" applyAlignment="1">
      <alignment horizontal="right" vertical="center" wrapText="1"/>
    </xf>
    <xf numFmtId="0" fontId="0" fillId="2" borderId="0" xfId="0" applyFill="1" applyAlignment="1">
      <alignment horizontal="right"/>
    </xf>
    <xf numFmtId="0" fontId="14" fillId="2" borderId="2" xfId="0" applyFont="1" applyFill="1" applyBorder="1" applyAlignment="1">
      <alignment horizontal="right" vertical="center" wrapText="1"/>
    </xf>
    <xf numFmtId="0" fontId="14" fillId="2" borderId="2" xfId="0" applyFont="1" applyFill="1" applyBorder="1" applyAlignment="1">
      <alignment vertical="center" wrapText="1"/>
    </xf>
    <xf numFmtId="0" fontId="0" fillId="2" borderId="2" xfId="0" applyFill="1" applyBorder="1" applyAlignment="1">
      <alignment horizontal="center" vertical="center"/>
    </xf>
    <xf numFmtId="0" fontId="14" fillId="2" borderId="0" xfId="0" applyFont="1" applyFill="1" applyAlignment="1">
      <alignment horizontal="right" vertical="center" wrapText="1"/>
    </xf>
    <xf numFmtId="0" fontId="0" fillId="0" borderId="10" xfId="0" applyBorder="1" applyAlignment="1">
      <alignment wrapText="1"/>
    </xf>
    <xf numFmtId="0" fontId="3" fillId="3" borderId="2" xfId="0" applyFont="1" applyFill="1" applyBorder="1" applyAlignment="1">
      <alignment horizontal="center" vertical="center" wrapText="1"/>
    </xf>
    <xf numFmtId="0" fontId="0" fillId="3" borderId="2" xfId="0" applyFill="1" applyBorder="1" applyAlignment="1">
      <alignment horizontal="center" vertical="center" wrapText="1"/>
    </xf>
    <xf numFmtId="0" fontId="3" fillId="4" borderId="2" xfId="0" applyFont="1" applyFill="1" applyBorder="1" applyAlignment="1">
      <alignment horizontal="center" vertical="center" wrapText="1"/>
    </xf>
    <xf numFmtId="0" fontId="7"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vertical="center" wrapText="1"/>
    </xf>
    <xf numFmtId="164" fontId="3" fillId="0" borderId="0" xfId="0" applyNumberFormat="1" applyFont="1" applyAlignment="1">
      <alignment horizontal="center" vertical="center" wrapText="1"/>
    </xf>
    <xf numFmtId="164" fontId="0" fillId="0" borderId="2" xfId="0" applyNumberFormat="1" applyBorder="1" applyAlignment="1">
      <alignment horizontal="center" vertical="center" wrapText="1"/>
    </xf>
    <xf numFmtId="164" fontId="3" fillId="0" borderId="2" xfId="0" applyNumberFormat="1" applyFont="1" applyBorder="1" applyAlignment="1">
      <alignment horizontal="center" vertical="center" wrapText="1"/>
    </xf>
    <xf numFmtId="0" fontId="0" fillId="0" borderId="0" xfId="0" applyAlignment="1">
      <alignment horizontal="center" wrapText="1"/>
    </xf>
    <xf numFmtId="0" fontId="12" fillId="0" borderId="2" xfId="0" applyFont="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2" fillId="0" borderId="6" xfId="0" applyFont="1" applyBorder="1" applyAlignment="1">
      <alignment vertical="center" wrapText="1"/>
    </xf>
    <xf numFmtId="0" fontId="12" fillId="0" borderId="2" xfId="0" applyFont="1" applyBorder="1" applyAlignment="1">
      <alignment horizontal="left" vertical="center" wrapText="1"/>
    </xf>
    <xf numFmtId="0" fontId="13" fillId="0" borderId="2" xfId="0" applyFont="1" applyBorder="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wrapText="1"/>
    </xf>
    <xf numFmtId="0" fontId="0" fillId="0" borderId="0" xfId="0" applyAlignment="1">
      <alignment wrapText="1"/>
    </xf>
    <xf numFmtId="0" fontId="2" fillId="0" borderId="0" xfId="0" applyFont="1" applyAlignment="1">
      <alignment horizontal="left" wrapText="1"/>
    </xf>
    <xf numFmtId="0" fontId="8" fillId="0" borderId="0" xfId="0" applyFont="1" applyAlignment="1">
      <alignment horizontal="center" wrapText="1"/>
    </xf>
    <xf numFmtId="0" fontId="9" fillId="0" borderId="0" xfId="0" applyFont="1" applyAlignment="1">
      <alignment wrapText="1"/>
    </xf>
    <xf numFmtId="0" fontId="10" fillId="0" borderId="0" xfId="0" applyFont="1" applyAlignment="1">
      <alignment horizontal="center" wrapText="1"/>
    </xf>
    <xf numFmtId="0" fontId="10" fillId="0" borderId="0" xfId="0" applyFont="1" applyAlignment="1">
      <alignment wrapText="1"/>
    </xf>
    <xf numFmtId="0" fontId="11" fillId="0" borderId="0" xfId="0" applyFont="1" applyAlignment="1">
      <alignment horizontal="center" wrapText="1"/>
    </xf>
    <xf numFmtId="0" fontId="4" fillId="0" borderId="0" xfId="0" applyFont="1" applyAlignment="1">
      <alignment wrapText="1"/>
    </xf>
    <xf numFmtId="0" fontId="2" fillId="0" borderId="0" xfId="0" applyFont="1" applyAlignment="1">
      <alignment horizontal="right" wrapText="1"/>
    </xf>
    <xf numFmtId="0" fontId="8" fillId="0" borderId="0" xfId="0" applyFont="1" applyAlignment="1">
      <alignment horizontal="center"/>
    </xf>
    <xf numFmtId="0" fontId="9" fillId="0" borderId="0" xfId="0" applyFont="1"/>
    <xf numFmtId="0" fontId="3" fillId="0" borderId="0" xfId="0" applyFont="1" applyAlignment="1">
      <alignment horizontal="center"/>
    </xf>
    <xf numFmtId="0" fontId="0" fillId="0" borderId="0" xfId="0"/>
    <xf numFmtId="0" fontId="8"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0</xdr:colOff>
      <xdr:row>35</xdr:row>
      <xdr:rowOff>154781</xdr:rowOff>
    </xdr:from>
    <xdr:to>
      <xdr:col>5</xdr:col>
      <xdr:colOff>1797844</xdr:colOff>
      <xdr:row>35</xdr:row>
      <xdr:rowOff>164306</xdr:rowOff>
    </xdr:to>
    <xdr:cxnSp macro="">
      <xdr:nvCxnSpPr>
        <xdr:cNvPr id="3" name="2 Conector recto">
          <a:extLst>
            <a:ext uri="{FF2B5EF4-FFF2-40B4-BE49-F238E27FC236}">
              <a16:creationId xmlns:a16="http://schemas.microsoft.com/office/drawing/2014/main" id="{00000000-0008-0000-0000-000003000000}"/>
            </a:ext>
          </a:extLst>
        </xdr:cNvPr>
        <xdr:cNvCxnSpPr/>
      </xdr:nvCxnSpPr>
      <xdr:spPr>
        <a:xfrm flipV="1">
          <a:off x="3952875" y="14620875"/>
          <a:ext cx="3738563"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35</xdr:row>
      <xdr:rowOff>154781</xdr:rowOff>
    </xdr:from>
    <xdr:to>
      <xdr:col>4</xdr:col>
      <xdr:colOff>0</xdr:colOff>
      <xdr:row>35</xdr:row>
      <xdr:rowOff>164306</xdr:rowOff>
    </xdr:to>
    <xdr:cxnSp macro="">
      <xdr:nvCxnSpPr>
        <xdr:cNvPr id="2" name="2 Conector recto">
          <a:extLst>
            <a:ext uri="{FF2B5EF4-FFF2-40B4-BE49-F238E27FC236}">
              <a16:creationId xmlns:a16="http://schemas.microsoft.com/office/drawing/2014/main" id="{D23357BD-848C-444B-8B34-F7EF7B4F193F}"/>
            </a:ext>
          </a:extLst>
        </xdr:cNvPr>
        <xdr:cNvCxnSpPr/>
      </xdr:nvCxnSpPr>
      <xdr:spPr>
        <a:xfrm flipV="1">
          <a:off x="10108406" y="15990094"/>
          <a:ext cx="3738563"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1524000</xdr:colOff>
      <xdr:row>33</xdr:row>
      <xdr:rowOff>0</xdr:rowOff>
    </xdr:from>
    <xdr:to>
      <xdr:col>5</xdr:col>
      <xdr:colOff>0</xdr:colOff>
      <xdr:row>33</xdr:row>
      <xdr:rowOff>9525</xdr:rowOff>
    </xdr:to>
    <xdr:cxnSp macro="">
      <xdr:nvCxnSpPr>
        <xdr:cNvPr id="2" name="2 Conector recto">
          <a:extLst>
            <a:ext uri="{FF2B5EF4-FFF2-40B4-BE49-F238E27FC236}">
              <a16:creationId xmlns:a16="http://schemas.microsoft.com/office/drawing/2014/main" id="{3D2E5B34-9A38-4112-8487-3B141EAA3617}"/>
            </a:ext>
          </a:extLst>
        </xdr:cNvPr>
        <xdr:cNvCxnSpPr/>
      </xdr:nvCxnSpPr>
      <xdr:spPr>
        <a:xfrm flipV="1">
          <a:off x="1857375" y="88106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1524000</xdr:colOff>
      <xdr:row>41</xdr:row>
      <xdr:rowOff>0</xdr:rowOff>
    </xdr:from>
    <xdr:to>
      <xdr:col>5</xdr:col>
      <xdr:colOff>0</xdr:colOff>
      <xdr:row>41</xdr:row>
      <xdr:rowOff>9525</xdr:rowOff>
    </xdr:to>
    <xdr:cxnSp macro="">
      <xdr:nvCxnSpPr>
        <xdr:cNvPr id="2" name="2 Conector recto">
          <a:extLst>
            <a:ext uri="{FF2B5EF4-FFF2-40B4-BE49-F238E27FC236}">
              <a16:creationId xmlns:a16="http://schemas.microsoft.com/office/drawing/2014/main" id="{2C30D1B7-6F9E-45FF-8183-68FC52542596}"/>
            </a:ext>
          </a:extLst>
        </xdr:cNvPr>
        <xdr:cNvCxnSpPr/>
      </xdr:nvCxnSpPr>
      <xdr:spPr>
        <a:xfrm flipV="1">
          <a:off x="1857375" y="88106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1524000</xdr:colOff>
      <xdr:row>37</xdr:row>
      <xdr:rowOff>0</xdr:rowOff>
    </xdr:from>
    <xdr:to>
      <xdr:col>5</xdr:col>
      <xdr:colOff>0</xdr:colOff>
      <xdr:row>37</xdr:row>
      <xdr:rowOff>9525</xdr:rowOff>
    </xdr:to>
    <xdr:cxnSp macro="">
      <xdr:nvCxnSpPr>
        <xdr:cNvPr id="2" name="2 Conector recto">
          <a:extLst>
            <a:ext uri="{FF2B5EF4-FFF2-40B4-BE49-F238E27FC236}">
              <a16:creationId xmlns:a16="http://schemas.microsoft.com/office/drawing/2014/main" id="{2199F7CE-5CAA-43B6-8871-AA26F2B9EE0E}"/>
            </a:ext>
          </a:extLst>
        </xdr:cNvPr>
        <xdr:cNvCxnSpPr/>
      </xdr:nvCxnSpPr>
      <xdr:spPr>
        <a:xfrm flipV="1">
          <a:off x="1857375" y="88106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1524000</xdr:colOff>
      <xdr:row>32</xdr:row>
      <xdr:rowOff>0</xdr:rowOff>
    </xdr:from>
    <xdr:to>
      <xdr:col>5</xdr:col>
      <xdr:colOff>0</xdr:colOff>
      <xdr:row>32</xdr:row>
      <xdr:rowOff>9525</xdr:rowOff>
    </xdr:to>
    <xdr:cxnSp macro="">
      <xdr:nvCxnSpPr>
        <xdr:cNvPr id="2" name="2 Conector recto">
          <a:extLst>
            <a:ext uri="{FF2B5EF4-FFF2-40B4-BE49-F238E27FC236}">
              <a16:creationId xmlns:a16="http://schemas.microsoft.com/office/drawing/2014/main" id="{6056859B-CFF2-442E-9003-36EA6A13BD68}"/>
            </a:ext>
          </a:extLst>
        </xdr:cNvPr>
        <xdr:cNvCxnSpPr/>
      </xdr:nvCxnSpPr>
      <xdr:spPr>
        <a:xfrm flipV="1">
          <a:off x="1857375" y="88106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1524000</xdr:colOff>
      <xdr:row>34</xdr:row>
      <xdr:rowOff>0</xdr:rowOff>
    </xdr:from>
    <xdr:to>
      <xdr:col>5</xdr:col>
      <xdr:colOff>0</xdr:colOff>
      <xdr:row>34</xdr:row>
      <xdr:rowOff>9525</xdr:rowOff>
    </xdr:to>
    <xdr:cxnSp macro="">
      <xdr:nvCxnSpPr>
        <xdr:cNvPr id="2" name="2 Conector recto">
          <a:extLst>
            <a:ext uri="{FF2B5EF4-FFF2-40B4-BE49-F238E27FC236}">
              <a16:creationId xmlns:a16="http://schemas.microsoft.com/office/drawing/2014/main" id="{48E6064B-AF60-4698-AB02-342CDAA54C0C}"/>
            </a:ext>
          </a:extLst>
        </xdr:cNvPr>
        <xdr:cNvCxnSpPr/>
      </xdr:nvCxnSpPr>
      <xdr:spPr>
        <a:xfrm flipV="1">
          <a:off x="1857375" y="88106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1524000</xdr:colOff>
      <xdr:row>48</xdr:row>
      <xdr:rowOff>0</xdr:rowOff>
    </xdr:from>
    <xdr:to>
      <xdr:col>5</xdr:col>
      <xdr:colOff>0</xdr:colOff>
      <xdr:row>48</xdr:row>
      <xdr:rowOff>9525</xdr:rowOff>
    </xdr:to>
    <xdr:cxnSp macro="">
      <xdr:nvCxnSpPr>
        <xdr:cNvPr id="2" name="2 Conector recto">
          <a:extLst>
            <a:ext uri="{FF2B5EF4-FFF2-40B4-BE49-F238E27FC236}">
              <a16:creationId xmlns:a16="http://schemas.microsoft.com/office/drawing/2014/main" id="{4D892491-B053-40FA-921E-4C2D70E91759}"/>
            </a:ext>
          </a:extLst>
        </xdr:cNvPr>
        <xdr:cNvCxnSpPr/>
      </xdr:nvCxnSpPr>
      <xdr:spPr>
        <a:xfrm flipV="1">
          <a:off x="1857375" y="7353300"/>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1524000</xdr:colOff>
      <xdr:row>29</xdr:row>
      <xdr:rowOff>0</xdr:rowOff>
    </xdr:from>
    <xdr:to>
      <xdr:col>5</xdr:col>
      <xdr:colOff>0</xdr:colOff>
      <xdr:row>29</xdr:row>
      <xdr:rowOff>9525</xdr:rowOff>
    </xdr:to>
    <xdr:cxnSp macro="">
      <xdr:nvCxnSpPr>
        <xdr:cNvPr id="2" name="2 Conector recto">
          <a:extLst>
            <a:ext uri="{FF2B5EF4-FFF2-40B4-BE49-F238E27FC236}">
              <a16:creationId xmlns:a16="http://schemas.microsoft.com/office/drawing/2014/main" id="{50863B01-ABF8-4414-9149-6B768BCBC46B}"/>
            </a:ext>
          </a:extLst>
        </xdr:cNvPr>
        <xdr:cNvCxnSpPr/>
      </xdr:nvCxnSpPr>
      <xdr:spPr>
        <a:xfrm flipV="1">
          <a:off x="1857375" y="4591050"/>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1524000</xdr:colOff>
      <xdr:row>20</xdr:row>
      <xdr:rowOff>0</xdr:rowOff>
    </xdr:from>
    <xdr:to>
      <xdr:col>5</xdr:col>
      <xdr:colOff>0</xdr:colOff>
      <xdr:row>20</xdr:row>
      <xdr:rowOff>9525</xdr:rowOff>
    </xdr:to>
    <xdr:cxnSp macro="">
      <xdr:nvCxnSpPr>
        <xdr:cNvPr id="2" name="2 Conector recto">
          <a:extLst>
            <a:ext uri="{FF2B5EF4-FFF2-40B4-BE49-F238E27FC236}">
              <a16:creationId xmlns:a16="http://schemas.microsoft.com/office/drawing/2014/main" id="{8576BA71-5562-4FF7-9CA3-7E5A56A6530C}"/>
            </a:ext>
          </a:extLst>
        </xdr:cNvPr>
        <xdr:cNvCxnSpPr/>
      </xdr:nvCxnSpPr>
      <xdr:spPr>
        <a:xfrm flipV="1">
          <a:off x="1857375" y="49244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1524000</xdr:colOff>
      <xdr:row>21</xdr:row>
      <xdr:rowOff>0</xdr:rowOff>
    </xdr:from>
    <xdr:to>
      <xdr:col>5</xdr:col>
      <xdr:colOff>0</xdr:colOff>
      <xdr:row>21</xdr:row>
      <xdr:rowOff>9525</xdr:rowOff>
    </xdr:to>
    <xdr:cxnSp macro="">
      <xdr:nvCxnSpPr>
        <xdr:cNvPr id="2" name="2 Conector recto">
          <a:extLst>
            <a:ext uri="{FF2B5EF4-FFF2-40B4-BE49-F238E27FC236}">
              <a16:creationId xmlns:a16="http://schemas.microsoft.com/office/drawing/2014/main" id="{4CBD382C-5370-4DEE-9BA0-765F6778720E}"/>
            </a:ext>
          </a:extLst>
        </xdr:cNvPr>
        <xdr:cNvCxnSpPr/>
      </xdr:nvCxnSpPr>
      <xdr:spPr>
        <a:xfrm flipV="1">
          <a:off x="1857375" y="49244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1524000</xdr:colOff>
      <xdr:row>22</xdr:row>
      <xdr:rowOff>0</xdr:rowOff>
    </xdr:from>
    <xdr:to>
      <xdr:col>5</xdr:col>
      <xdr:colOff>0</xdr:colOff>
      <xdr:row>22</xdr:row>
      <xdr:rowOff>9525</xdr:rowOff>
    </xdr:to>
    <xdr:cxnSp macro="">
      <xdr:nvCxnSpPr>
        <xdr:cNvPr id="2" name="2 Conector recto">
          <a:extLst>
            <a:ext uri="{FF2B5EF4-FFF2-40B4-BE49-F238E27FC236}">
              <a16:creationId xmlns:a16="http://schemas.microsoft.com/office/drawing/2014/main" id="{90EB3659-F025-464E-B3D7-40DC71ACB448}"/>
            </a:ext>
          </a:extLst>
        </xdr:cNvPr>
        <xdr:cNvCxnSpPr/>
      </xdr:nvCxnSpPr>
      <xdr:spPr>
        <a:xfrm flipV="1">
          <a:off x="1857375" y="49244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1524000</xdr:colOff>
      <xdr:row>20</xdr:row>
      <xdr:rowOff>0</xdr:rowOff>
    </xdr:from>
    <xdr:to>
      <xdr:col>5</xdr:col>
      <xdr:colOff>0</xdr:colOff>
      <xdr:row>20</xdr:row>
      <xdr:rowOff>9525</xdr:rowOff>
    </xdr:to>
    <xdr:cxnSp macro="">
      <xdr:nvCxnSpPr>
        <xdr:cNvPr id="2" name="2 Conector recto">
          <a:extLst>
            <a:ext uri="{FF2B5EF4-FFF2-40B4-BE49-F238E27FC236}">
              <a16:creationId xmlns:a16="http://schemas.microsoft.com/office/drawing/2014/main" id="{F9E84AE5-B113-41D1-B6E7-B00DA1E61861}"/>
            </a:ext>
          </a:extLst>
        </xdr:cNvPr>
        <xdr:cNvCxnSpPr/>
      </xdr:nvCxnSpPr>
      <xdr:spPr>
        <a:xfrm flipV="1">
          <a:off x="1857375" y="49244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1524000</xdr:colOff>
      <xdr:row>20</xdr:row>
      <xdr:rowOff>0</xdr:rowOff>
    </xdr:from>
    <xdr:to>
      <xdr:col>5</xdr:col>
      <xdr:colOff>0</xdr:colOff>
      <xdr:row>20</xdr:row>
      <xdr:rowOff>9525</xdr:rowOff>
    </xdr:to>
    <xdr:cxnSp macro="">
      <xdr:nvCxnSpPr>
        <xdr:cNvPr id="2" name="2 Conector recto">
          <a:extLst>
            <a:ext uri="{FF2B5EF4-FFF2-40B4-BE49-F238E27FC236}">
              <a16:creationId xmlns:a16="http://schemas.microsoft.com/office/drawing/2014/main" id="{AB304DE6-6E8A-4728-9E12-3A126616992D}"/>
            </a:ext>
          </a:extLst>
        </xdr:cNvPr>
        <xdr:cNvCxnSpPr/>
      </xdr:nvCxnSpPr>
      <xdr:spPr>
        <a:xfrm flipV="1">
          <a:off x="1857375" y="49244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1524000</xdr:colOff>
      <xdr:row>31</xdr:row>
      <xdr:rowOff>0</xdr:rowOff>
    </xdr:from>
    <xdr:to>
      <xdr:col>5</xdr:col>
      <xdr:colOff>0</xdr:colOff>
      <xdr:row>31</xdr:row>
      <xdr:rowOff>9525</xdr:rowOff>
    </xdr:to>
    <xdr:cxnSp macro="">
      <xdr:nvCxnSpPr>
        <xdr:cNvPr id="2" name="2 Conector recto">
          <a:extLst>
            <a:ext uri="{FF2B5EF4-FFF2-40B4-BE49-F238E27FC236}">
              <a16:creationId xmlns:a16="http://schemas.microsoft.com/office/drawing/2014/main" id="{539BF919-F6F9-4D18-96A8-799D7AA6FDF6}"/>
            </a:ext>
          </a:extLst>
        </xdr:cNvPr>
        <xdr:cNvCxnSpPr/>
      </xdr:nvCxnSpPr>
      <xdr:spPr>
        <a:xfrm flipV="1">
          <a:off x="1857375" y="49244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1524000</xdr:colOff>
      <xdr:row>31</xdr:row>
      <xdr:rowOff>0</xdr:rowOff>
    </xdr:from>
    <xdr:to>
      <xdr:col>5</xdr:col>
      <xdr:colOff>0</xdr:colOff>
      <xdr:row>31</xdr:row>
      <xdr:rowOff>9525</xdr:rowOff>
    </xdr:to>
    <xdr:cxnSp macro="">
      <xdr:nvCxnSpPr>
        <xdr:cNvPr id="2" name="2 Conector recto">
          <a:extLst>
            <a:ext uri="{FF2B5EF4-FFF2-40B4-BE49-F238E27FC236}">
              <a16:creationId xmlns:a16="http://schemas.microsoft.com/office/drawing/2014/main" id="{5CA247FF-D629-44E9-826A-41CBB04BCDC9}"/>
            </a:ext>
          </a:extLst>
        </xdr:cNvPr>
        <xdr:cNvCxnSpPr/>
      </xdr:nvCxnSpPr>
      <xdr:spPr>
        <a:xfrm flipV="1">
          <a:off x="1857375" y="5048250"/>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1524000</xdr:colOff>
      <xdr:row>31</xdr:row>
      <xdr:rowOff>0</xdr:rowOff>
    </xdr:from>
    <xdr:to>
      <xdr:col>5</xdr:col>
      <xdr:colOff>0</xdr:colOff>
      <xdr:row>31</xdr:row>
      <xdr:rowOff>9525</xdr:rowOff>
    </xdr:to>
    <xdr:cxnSp macro="">
      <xdr:nvCxnSpPr>
        <xdr:cNvPr id="2" name="2 Conector recto">
          <a:extLst>
            <a:ext uri="{FF2B5EF4-FFF2-40B4-BE49-F238E27FC236}">
              <a16:creationId xmlns:a16="http://schemas.microsoft.com/office/drawing/2014/main" id="{3975D0E3-F188-47ED-83E0-02BECD90A634}"/>
            </a:ext>
          </a:extLst>
        </xdr:cNvPr>
        <xdr:cNvCxnSpPr/>
      </xdr:nvCxnSpPr>
      <xdr:spPr>
        <a:xfrm flipV="1">
          <a:off x="1857375" y="48863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1524000</xdr:colOff>
      <xdr:row>23</xdr:row>
      <xdr:rowOff>0</xdr:rowOff>
    </xdr:from>
    <xdr:to>
      <xdr:col>5</xdr:col>
      <xdr:colOff>0</xdr:colOff>
      <xdr:row>23</xdr:row>
      <xdr:rowOff>9525</xdr:rowOff>
    </xdr:to>
    <xdr:cxnSp macro="">
      <xdr:nvCxnSpPr>
        <xdr:cNvPr id="2" name="2 Conector recto">
          <a:extLst>
            <a:ext uri="{FF2B5EF4-FFF2-40B4-BE49-F238E27FC236}">
              <a16:creationId xmlns:a16="http://schemas.microsoft.com/office/drawing/2014/main" id="{05B74F22-7FD5-4215-B9A7-239F7EE9B229}"/>
            </a:ext>
          </a:extLst>
        </xdr:cNvPr>
        <xdr:cNvCxnSpPr/>
      </xdr:nvCxnSpPr>
      <xdr:spPr>
        <a:xfrm flipV="1">
          <a:off x="1857375" y="456247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1524000</xdr:colOff>
      <xdr:row>26</xdr:row>
      <xdr:rowOff>0</xdr:rowOff>
    </xdr:from>
    <xdr:to>
      <xdr:col>5</xdr:col>
      <xdr:colOff>0</xdr:colOff>
      <xdr:row>26</xdr:row>
      <xdr:rowOff>9525</xdr:rowOff>
    </xdr:to>
    <xdr:cxnSp macro="">
      <xdr:nvCxnSpPr>
        <xdr:cNvPr id="2" name="2 Conector recto">
          <a:extLst>
            <a:ext uri="{FF2B5EF4-FFF2-40B4-BE49-F238E27FC236}">
              <a16:creationId xmlns:a16="http://schemas.microsoft.com/office/drawing/2014/main" id="{E842CA5C-287B-46F1-8CA4-157FEC50EB1C}"/>
            </a:ext>
          </a:extLst>
        </xdr:cNvPr>
        <xdr:cNvCxnSpPr/>
      </xdr:nvCxnSpPr>
      <xdr:spPr>
        <a:xfrm flipV="1">
          <a:off x="1857375" y="42386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1524000</xdr:colOff>
      <xdr:row>26</xdr:row>
      <xdr:rowOff>0</xdr:rowOff>
    </xdr:from>
    <xdr:to>
      <xdr:col>5</xdr:col>
      <xdr:colOff>0</xdr:colOff>
      <xdr:row>26</xdr:row>
      <xdr:rowOff>9525</xdr:rowOff>
    </xdr:to>
    <xdr:cxnSp macro="">
      <xdr:nvCxnSpPr>
        <xdr:cNvPr id="2" name="2 Conector recto">
          <a:extLst>
            <a:ext uri="{FF2B5EF4-FFF2-40B4-BE49-F238E27FC236}">
              <a16:creationId xmlns:a16="http://schemas.microsoft.com/office/drawing/2014/main" id="{BF635130-EC41-4C6D-82FA-ADFC3C5BE499}"/>
            </a:ext>
          </a:extLst>
        </xdr:cNvPr>
        <xdr:cNvCxnSpPr/>
      </xdr:nvCxnSpPr>
      <xdr:spPr>
        <a:xfrm flipV="1">
          <a:off x="1857375" y="42386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1524000</xdr:colOff>
      <xdr:row>21</xdr:row>
      <xdr:rowOff>0</xdr:rowOff>
    </xdr:from>
    <xdr:to>
      <xdr:col>5</xdr:col>
      <xdr:colOff>0</xdr:colOff>
      <xdr:row>21</xdr:row>
      <xdr:rowOff>9525</xdr:rowOff>
    </xdr:to>
    <xdr:cxnSp macro="">
      <xdr:nvCxnSpPr>
        <xdr:cNvPr id="2" name="2 Conector recto">
          <a:extLst>
            <a:ext uri="{FF2B5EF4-FFF2-40B4-BE49-F238E27FC236}">
              <a16:creationId xmlns:a16="http://schemas.microsoft.com/office/drawing/2014/main" id="{9BB48F0F-84AB-4B9D-8510-4628F47D4C22}"/>
            </a:ext>
          </a:extLst>
        </xdr:cNvPr>
        <xdr:cNvCxnSpPr/>
      </xdr:nvCxnSpPr>
      <xdr:spPr>
        <a:xfrm flipV="1">
          <a:off x="1857375" y="3752850"/>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1524000</xdr:colOff>
      <xdr:row>24</xdr:row>
      <xdr:rowOff>0</xdr:rowOff>
    </xdr:from>
    <xdr:to>
      <xdr:col>5</xdr:col>
      <xdr:colOff>0</xdr:colOff>
      <xdr:row>24</xdr:row>
      <xdr:rowOff>9525</xdr:rowOff>
    </xdr:to>
    <xdr:cxnSp macro="">
      <xdr:nvCxnSpPr>
        <xdr:cNvPr id="2" name="2 Conector recto">
          <a:extLst>
            <a:ext uri="{FF2B5EF4-FFF2-40B4-BE49-F238E27FC236}">
              <a16:creationId xmlns:a16="http://schemas.microsoft.com/office/drawing/2014/main" id="{A2DA645C-7A0C-4090-982A-3906282FE3CF}"/>
            </a:ext>
          </a:extLst>
        </xdr:cNvPr>
        <xdr:cNvCxnSpPr/>
      </xdr:nvCxnSpPr>
      <xdr:spPr>
        <a:xfrm flipV="1">
          <a:off x="1857375" y="3752850"/>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1524000</xdr:colOff>
      <xdr:row>16</xdr:row>
      <xdr:rowOff>0</xdr:rowOff>
    </xdr:from>
    <xdr:to>
      <xdr:col>5</xdr:col>
      <xdr:colOff>0</xdr:colOff>
      <xdr:row>16</xdr:row>
      <xdr:rowOff>9525</xdr:rowOff>
    </xdr:to>
    <xdr:cxnSp macro="">
      <xdr:nvCxnSpPr>
        <xdr:cNvPr id="2" name="2 Conector recto">
          <a:extLst>
            <a:ext uri="{FF2B5EF4-FFF2-40B4-BE49-F238E27FC236}">
              <a16:creationId xmlns:a16="http://schemas.microsoft.com/office/drawing/2014/main" id="{A5083AAA-9A50-4EE2-8227-E5BD082E03F4}"/>
            </a:ext>
          </a:extLst>
        </xdr:cNvPr>
        <xdr:cNvCxnSpPr/>
      </xdr:nvCxnSpPr>
      <xdr:spPr>
        <a:xfrm flipV="1">
          <a:off x="1857375" y="738187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1524000</xdr:colOff>
      <xdr:row>24</xdr:row>
      <xdr:rowOff>0</xdr:rowOff>
    </xdr:from>
    <xdr:to>
      <xdr:col>5</xdr:col>
      <xdr:colOff>0</xdr:colOff>
      <xdr:row>24</xdr:row>
      <xdr:rowOff>9525</xdr:rowOff>
    </xdr:to>
    <xdr:cxnSp macro="">
      <xdr:nvCxnSpPr>
        <xdr:cNvPr id="2" name="2 Conector recto">
          <a:extLst>
            <a:ext uri="{FF2B5EF4-FFF2-40B4-BE49-F238E27FC236}">
              <a16:creationId xmlns:a16="http://schemas.microsoft.com/office/drawing/2014/main" id="{8356D31E-6258-474D-8584-3EC215C54314}"/>
            </a:ext>
          </a:extLst>
        </xdr:cNvPr>
        <xdr:cNvCxnSpPr/>
      </xdr:nvCxnSpPr>
      <xdr:spPr>
        <a:xfrm flipV="1">
          <a:off x="1857375" y="4733925"/>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1524000</xdr:colOff>
      <xdr:row>37</xdr:row>
      <xdr:rowOff>0</xdr:rowOff>
    </xdr:from>
    <xdr:to>
      <xdr:col>5</xdr:col>
      <xdr:colOff>0</xdr:colOff>
      <xdr:row>37</xdr:row>
      <xdr:rowOff>9525</xdr:rowOff>
    </xdr:to>
    <xdr:cxnSp macro="">
      <xdr:nvCxnSpPr>
        <xdr:cNvPr id="2" name="2 Conector recto">
          <a:extLst>
            <a:ext uri="{FF2B5EF4-FFF2-40B4-BE49-F238E27FC236}">
              <a16:creationId xmlns:a16="http://schemas.microsoft.com/office/drawing/2014/main" id="{811645A6-01BF-45D8-A679-206801BB6784}"/>
            </a:ext>
          </a:extLst>
        </xdr:cNvPr>
        <xdr:cNvCxnSpPr/>
      </xdr:nvCxnSpPr>
      <xdr:spPr>
        <a:xfrm flipV="1">
          <a:off x="1857375" y="4724400"/>
          <a:ext cx="3238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F37"/>
  <sheetViews>
    <sheetView view="pageBreakPreview" topLeftCell="A22" zoomScale="80" zoomScaleNormal="80" zoomScaleSheetLayoutView="80" workbookViewId="0">
      <selection activeCell="F26" sqref="F26"/>
    </sheetView>
  </sheetViews>
  <sheetFormatPr baseColWidth="10" defaultColWidth="11.42578125" defaultRowHeight="12.75" x14ac:dyDescent="0.2"/>
  <cols>
    <col min="1" max="1" width="7.28515625" style="51" customWidth="1"/>
    <col min="2" max="2" width="45" style="44" customWidth="1"/>
    <col min="3" max="3" width="15.28515625" style="90" customWidth="1"/>
    <col min="4" max="4" width="13.7109375" style="43" bestFit="1" customWidth="1"/>
    <col min="5" max="5" width="15.42578125" style="61" customWidth="1"/>
    <col min="6" max="6" width="83.42578125" style="47"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F3" s="44" t="s">
        <v>3</v>
      </c>
    </row>
    <row r="4" spans="1:6" ht="20.25" x14ac:dyDescent="0.3">
      <c r="A4" s="141" t="s">
        <v>4</v>
      </c>
      <c r="B4" s="142"/>
      <c r="C4" s="142"/>
      <c r="D4" s="142"/>
      <c r="E4" s="142"/>
      <c r="F4" s="142"/>
    </row>
    <row r="5" spans="1:6" ht="27.75" customHeight="1" x14ac:dyDescent="0.25">
      <c r="A5" s="143" t="s">
        <v>230</v>
      </c>
      <c r="B5" s="144"/>
      <c r="C5" s="144"/>
      <c r="D5" s="144"/>
      <c r="E5" s="144"/>
      <c r="F5" s="144"/>
    </row>
    <row r="6" spans="1:6" ht="15" x14ac:dyDescent="0.2">
      <c r="A6" s="62"/>
      <c r="B6" s="40"/>
      <c r="C6" s="91"/>
      <c r="D6" s="40"/>
      <c r="E6" s="40"/>
      <c r="F6" s="45"/>
    </row>
    <row r="7" spans="1:6" ht="15.75" x14ac:dyDescent="0.25">
      <c r="A7" s="145" t="s">
        <v>5</v>
      </c>
      <c r="B7" s="145"/>
      <c r="C7" s="63" t="s">
        <v>228</v>
      </c>
      <c r="D7" s="63"/>
      <c r="E7" s="135"/>
      <c r="F7" s="135"/>
    </row>
    <row r="8" spans="1:6" ht="21" customHeight="1" x14ac:dyDescent="0.25">
      <c r="A8" s="145" t="s">
        <v>7</v>
      </c>
      <c r="B8" s="145"/>
      <c r="C8" s="138" t="s">
        <v>229</v>
      </c>
      <c r="D8" s="138"/>
      <c r="E8" s="138"/>
      <c r="F8" s="138"/>
    </row>
    <row r="9" spans="1:6" ht="15.75" x14ac:dyDescent="0.25">
      <c r="A9" s="145" t="s">
        <v>8</v>
      </c>
      <c r="B9" s="145"/>
      <c r="C9" s="88">
        <v>45793</v>
      </c>
      <c r="D9" s="63"/>
      <c r="E9" s="135"/>
      <c r="F9" s="135"/>
    </row>
    <row r="10" spans="1:6" ht="15.75" x14ac:dyDescent="0.25">
      <c r="A10" s="63"/>
      <c r="B10" s="64"/>
      <c r="C10" s="64"/>
      <c r="D10" s="46"/>
      <c r="E10" s="46"/>
      <c r="F10" s="46"/>
    </row>
    <row r="11" spans="1:6" ht="13.5" thickBot="1" x14ac:dyDescent="0.25">
      <c r="A11" s="31"/>
      <c r="D11" s="66"/>
    </row>
    <row r="12" spans="1:6" s="30" customFormat="1" ht="48" thickBot="1" x14ac:dyDescent="0.25">
      <c r="A12" s="85" t="s">
        <v>9</v>
      </c>
      <c r="B12" s="86" t="s">
        <v>10</v>
      </c>
      <c r="C12" s="92" t="s">
        <v>225</v>
      </c>
      <c r="D12" s="86" t="s">
        <v>11</v>
      </c>
      <c r="E12" s="86" t="s">
        <v>226</v>
      </c>
      <c r="F12" s="87" t="s">
        <v>12</v>
      </c>
    </row>
    <row r="13" spans="1:6" ht="33.75" customHeight="1" x14ac:dyDescent="0.2">
      <c r="A13" s="80">
        <v>1</v>
      </c>
      <c r="B13" s="81" t="s">
        <v>33</v>
      </c>
      <c r="C13" s="93">
        <v>39170</v>
      </c>
      <c r="D13" s="82" t="s">
        <v>34</v>
      </c>
      <c r="E13" s="83" t="s">
        <v>19</v>
      </c>
      <c r="F13" s="84" t="s">
        <v>341</v>
      </c>
    </row>
    <row r="14" spans="1:6" ht="93" customHeight="1" x14ac:dyDescent="0.2">
      <c r="A14" s="50">
        <f>1+A13</f>
        <v>2</v>
      </c>
      <c r="B14" s="17" t="s">
        <v>27</v>
      </c>
      <c r="C14" s="95" t="s">
        <v>249</v>
      </c>
      <c r="D14" s="49" t="s">
        <v>26</v>
      </c>
      <c r="E14" s="67" t="s">
        <v>19</v>
      </c>
      <c r="F14" s="26" t="s">
        <v>213</v>
      </c>
    </row>
    <row r="15" spans="1:6" ht="144.75" customHeight="1" x14ac:dyDescent="0.2">
      <c r="A15" s="50">
        <f>1+A14</f>
        <v>3</v>
      </c>
      <c r="B15" s="17" t="s">
        <v>25</v>
      </c>
      <c r="C15" s="95" t="s">
        <v>250</v>
      </c>
      <c r="D15" s="49" t="s">
        <v>26</v>
      </c>
      <c r="E15" s="67" t="s">
        <v>19</v>
      </c>
      <c r="F15" s="26" t="s">
        <v>168</v>
      </c>
    </row>
    <row r="16" spans="1:6" ht="45.75" customHeight="1" x14ac:dyDescent="0.2">
      <c r="A16" s="50">
        <f t="shared" ref="A16:A29" si="0">1+A15</f>
        <v>4</v>
      </c>
      <c r="B16" s="17" t="s">
        <v>196</v>
      </c>
      <c r="C16" s="94">
        <v>49511</v>
      </c>
      <c r="D16" s="49" t="s">
        <v>20</v>
      </c>
      <c r="E16" s="67" t="s">
        <v>19</v>
      </c>
      <c r="F16" s="26" t="s">
        <v>212</v>
      </c>
    </row>
    <row r="17" spans="1:6" ht="42" customHeight="1" x14ac:dyDescent="0.2">
      <c r="A17" s="50">
        <f t="shared" si="0"/>
        <v>5</v>
      </c>
      <c r="B17" s="17" t="s">
        <v>18</v>
      </c>
      <c r="C17" s="95" t="s">
        <v>253</v>
      </c>
      <c r="D17" s="49" t="s">
        <v>26</v>
      </c>
      <c r="E17" s="67" t="s">
        <v>19</v>
      </c>
      <c r="F17" s="26" t="s">
        <v>21</v>
      </c>
    </row>
    <row r="18" spans="1:6" ht="95.25" customHeight="1" x14ac:dyDescent="0.2">
      <c r="A18" s="50">
        <f t="shared" si="0"/>
        <v>6</v>
      </c>
      <c r="B18" s="17" t="s">
        <v>37</v>
      </c>
      <c r="C18" s="101">
        <v>34363</v>
      </c>
      <c r="D18" s="49" t="s">
        <v>26</v>
      </c>
      <c r="E18" s="67" t="s">
        <v>19</v>
      </c>
      <c r="F18" s="26" t="s">
        <v>356</v>
      </c>
    </row>
    <row r="19" spans="1:6" ht="150.75" customHeight="1" x14ac:dyDescent="0.2">
      <c r="A19" s="50">
        <f t="shared" si="0"/>
        <v>7</v>
      </c>
      <c r="B19" s="17" t="s">
        <v>195</v>
      </c>
      <c r="C19" s="94">
        <v>34363</v>
      </c>
      <c r="D19" s="49" t="s">
        <v>26</v>
      </c>
      <c r="E19" s="67" t="s">
        <v>19</v>
      </c>
      <c r="F19" s="26" t="s">
        <v>347</v>
      </c>
    </row>
    <row r="20" spans="1:6" ht="81" customHeight="1" x14ac:dyDescent="0.2">
      <c r="A20" s="50">
        <f t="shared" si="0"/>
        <v>8</v>
      </c>
      <c r="B20" s="17" t="s">
        <v>28</v>
      </c>
      <c r="C20" s="95" t="s">
        <v>247</v>
      </c>
      <c r="D20" s="49" t="s">
        <v>26</v>
      </c>
      <c r="E20" s="50" t="s">
        <v>19</v>
      </c>
      <c r="F20" s="26" t="s">
        <v>353</v>
      </c>
    </row>
    <row r="21" spans="1:6" ht="67.5" customHeight="1" x14ac:dyDescent="0.2">
      <c r="A21" s="50">
        <f t="shared" si="0"/>
        <v>9</v>
      </c>
      <c r="B21" s="17" t="s">
        <v>107</v>
      </c>
      <c r="C21" s="101">
        <v>17355</v>
      </c>
      <c r="D21" s="49" t="s">
        <v>50</v>
      </c>
      <c r="E21" s="67" t="s">
        <v>19</v>
      </c>
      <c r="F21" s="26" t="s">
        <v>352</v>
      </c>
    </row>
    <row r="22" spans="1:6" ht="57.75" customHeight="1" x14ac:dyDescent="0.2">
      <c r="A22" s="50">
        <f t="shared" si="0"/>
        <v>10</v>
      </c>
      <c r="B22" s="17" t="s">
        <v>150</v>
      </c>
      <c r="C22" s="94">
        <v>49820</v>
      </c>
      <c r="D22" s="49" t="s">
        <v>96</v>
      </c>
      <c r="E22" s="67" t="s">
        <v>19</v>
      </c>
      <c r="F22" s="26" t="s">
        <v>357</v>
      </c>
    </row>
    <row r="23" spans="1:6" ht="86.25" customHeight="1" x14ac:dyDescent="0.2">
      <c r="A23" s="50">
        <f t="shared" si="0"/>
        <v>11</v>
      </c>
      <c r="B23" s="21" t="s">
        <v>245</v>
      </c>
      <c r="C23" s="95" t="s">
        <v>244</v>
      </c>
      <c r="D23" s="49" t="s">
        <v>26</v>
      </c>
      <c r="E23" s="67" t="s">
        <v>19</v>
      </c>
      <c r="F23" s="26" t="s">
        <v>214</v>
      </c>
    </row>
    <row r="24" spans="1:6" ht="69" customHeight="1" x14ac:dyDescent="0.2">
      <c r="A24" s="50">
        <f t="shared" si="0"/>
        <v>12</v>
      </c>
      <c r="B24" s="21" t="s">
        <v>49</v>
      </c>
      <c r="C24" s="95" t="s">
        <v>246</v>
      </c>
      <c r="D24" s="49" t="s">
        <v>26</v>
      </c>
      <c r="E24" s="67" t="s">
        <v>19</v>
      </c>
      <c r="F24" s="26" t="s">
        <v>215</v>
      </c>
    </row>
    <row r="25" spans="1:6" ht="24" customHeight="1" x14ac:dyDescent="0.2">
      <c r="A25" s="50">
        <f t="shared" si="0"/>
        <v>13</v>
      </c>
      <c r="B25" s="17" t="s">
        <v>111</v>
      </c>
      <c r="C25" s="94">
        <v>37919</v>
      </c>
      <c r="D25" s="49" t="s">
        <v>20</v>
      </c>
      <c r="E25" s="67" t="s">
        <v>19</v>
      </c>
      <c r="F25" s="26" t="s">
        <v>163</v>
      </c>
    </row>
    <row r="26" spans="1:6" ht="76.5" x14ac:dyDescent="0.2">
      <c r="A26" s="50">
        <f>1+A25</f>
        <v>14</v>
      </c>
      <c r="B26" s="17" t="s">
        <v>114</v>
      </c>
      <c r="C26" s="95" t="s">
        <v>252</v>
      </c>
      <c r="D26" s="49" t="s">
        <v>20</v>
      </c>
      <c r="E26" s="50" t="s">
        <v>19</v>
      </c>
      <c r="F26" s="26" t="s">
        <v>216</v>
      </c>
    </row>
    <row r="27" spans="1:6" ht="76.5" x14ac:dyDescent="0.2">
      <c r="A27" s="50">
        <f t="shared" si="0"/>
        <v>15</v>
      </c>
      <c r="B27" s="17" t="s">
        <v>113</v>
      </c>
      <c r="C27" s="95" t="s">
        <v>251</v>
      </c>
      <c r="D27" s="49" t="s">
        <v>20</v>
      </c>
      <c r="E27" s="67" t="s">
        <v>29</v>
      </c>
      <c r="F27" s="26" t="s">
        <v>30</v>
      </c>
    </row>
    <row r="28" spans="1:6" ht="25.5" x14ac:dyDescent="0.2">
      <c r="A28" s="50">
        <f t="shared" si="0"/>
        <v>16</v>
      </c>
      <c r="B28" s="17" t="s">
        <v>35</v>
      </c>
      <c r="C28" s="95" t="s">
        <v>248</v>
      </c>
      <c r="D28" s="49" t="s">
        <v>26</v>
      </c>
      <c r="E28" s="67" t="s">
        <v>29</v>
      </c>
      <c r="F28" s="26" t="s">
        <v>30</v>
      </c>
    </row>
    <row r="29" spans="1:6" ht="25.5" x14ac:dyDescent="0.2">
      <c r="A29" s="50">
        <f t="shared" si="0"/>
        <v>17</v>
      </c>
      <c r="B29" s="17" t="s">
        <v>115</v>
      </c>
      <c r="C29" s="94">
        <v>18024</v>
      </c>
      <c r="D29" s="49" t="s">
        <v>20</v>
      </c>
      <c r="E29" s="67" t="s">
        <v>29</v>
      </c>
      <c r="F29" s="26" t="s">
        <v>181</v>
      </c>
    </row>
    <row r="30" spans="1:6" ht="15.75" x14ac:dyDescent="0.25">
      <c r="A30" s="63"/>
      <c r="B30" s="64"/>
      <c r="C30" s="64"/>
      <c r="D30" s="68"/>
      <c r="E30" s="64"/>
      <c r="F30" s="48"/>
    </row>
    <row r="31" spans="1:6" ht="15.75" x14ac:dyDescent="0.25">
      <c r="A31" s="63"/>
      <c r="B31" s="64"/>
      <c r="C31" s="64"/>
      <c r="D31" s="68"/>
      <c r="E31" s="64"/>
      <c r="F31" s="48"/>
    </row>
    <row r="32" spans="1:6" ht="15.75" x14ac:dyDescent="0.25">
      <c r="A32" s="63"/>
      <c r="B32" s="64"/>
      <c r="C32" s="64"/>
      <c r="D32" s="68"/>
      <c r="E32" s="64"/>
      <c r="F32" s="48"/>
    </row>
    <row r="33" spans="1:6" ht="15.75" x14ac:dyDescent="0.25">
      <c r="A33" s="63"/>
      <c r="B33" s="64"/>
      <c r="C33" s="64"/>
      <c r="D33" s="68"/>
      <c r="E33" s="64"/>
      <c r="F33" s="48"/>
    </row>
    <row r="34" spans="1:6" ht="15.75" x14ac:dyDescent="0.25">
      <c r="A34" s="63"/>
      <c r="B34" s="64"/>
      <c r="C34" s="64"/>
      <c r="D34" s="68"/>
      <c r="E34" s="64"/>
      <c r="F34" s="48"/>
    </row>
    <row r="36" spans="1:6" x14ac:dyDescent="0.2">
      <c r="A36" s="136"/>
      <c r="B36" s="137"/>
      <c r="C36" s="137"/>
      <c r="D36" s="137"/>
      <c r="E36" s="137"/>
      <c r="F36" s="137"/>
    </row>
    <row r="37" spans="1:6" ht="15" x14ac:dyDescent="0.25">
      <c r="A37" s="139" t="s">
        <v>17</v>
      </c>
      <c r="B37" s="140"/>
      <c r="C37" s="140"/>
      <c r="D37" s="140"/>
      <c r="E37" s="140"/>
      <c r="F37" s="140"/>
    </row>
  </sheetData>
  <autoFilter ref="A12:F29" xr:uid="{00000000-0001-0000-0000-000000000000}">
    <sortState xmlns:xlrd2="http://schemas.microsoft.com/office/spreadsheetml/2017/richdata2" ref="A13:F29">
      <sortCondition ref="B12:B29"/>
    </sortState>
  </autoFilter>
  <mergeCells count="12">
    <mergeCell ref="A37:F37"/>
    <mergeCell ref="A4:F4"/>
    <mergeCell ref="A5:F5"/>
    <mergeCell ref="A7:B7"/>
    <mergeCell ref="A8:B8"/>
    <mergeCell ref="A9:B9"/>
    <mergeCell ref="E7:F7"/>
    <mergeCell ref="A2:E2"/>
    <mergeCell ref="A1:F1"/>
    <mergeCell ref="E9:F9"/>
    <mergeCell ref="A36:F36"/>
    <mergeCell ref="C8:F8"/>
  </mergeCells>
  <phoneticPr fontId="0" type="noConversion"/>
  <pageMargins left="0.70866141732283472" right="0.70866141732283472" top="0.74803149606299213" bottom="0.74803149606299213" header="0.31496062992125984" footer="0.31496062992125984"/>
  <pageSetup scale="51"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5BDD-D88F-41E6-861F-A2AF1DDD9767}">
  <sheetPr>
    <tabColor rgb="FFFFFF00"/>
    <pageSetUpPr fitToPage="1"/>
  </sheetPr>
  <dimension ref="A1:F34"/>
  <sheetViews>
    <sheetView tabSelected="1" topLeftCell="A21" zoomScale="80" zoomScaleNormal="80" workbookViewId="0">
      <selection activeCell="F25" sqref="F25"/>
    </sheetView>
  </sheetViews>
  <sheetFormatPr baseColWidth="10" defaultColWidth="11.42578125" defaultRowHeight="12.75" x14ac:dyDescent="0.2"/>
  <cols>
    <col min="1" max="1" width="7" style="1" customWidth="1"/>
    <col min="2" max="2" width="46.85546875" style="44" customWidth="1"/>
    <col min="3" max="3" width="23.140625" style="90" customWidth="1"/>
    <col min="4" max="4" width="13.7109375" style="43" bestFit="1" customWidth="1"/>
    <col min="5" max="5" width="15.42578125" style="61" customWidth="1"/>
    <col min="6" max="6" width="59.42578125" style="43"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F3" s="44" t="s">
        <v>3</v>
      </c>
    </row>
    <row r="4" spans="1:6" ht="20.25" x14ac:dyDescent="0.3">
      <c r="A4" s="141" t="s">
        <v>4</v>
      </c>
      <c r="B4" s="142"/>
      <c r="C4" s="142"/>
      <c r="D4" s="142"/>
      <c r="E4" s="142"/>
      <c r="F4" s="142"/>
    </row>
    <row r="5" spans="1:6" ht="24.75" customHeight="1" x14ac:dyDescent="0.25">
      <c r="A5" s="143" t="s">
        <v>230</v>
      </c>
      <c r="B5" s="144"/>
      <c r="C5" s="144"/>
      <c r="D5" s="144"/>
      <c r="E5" s="144"/>
      <c r="F5" s="144"/>
    </row>
    <row r="6" spans="1:6" ht="15" x14ac:dyDescent="0.2">
      <c r="A6" s="62"/>
      <c r="B6" s="40"/>
      <c r="C6" s="91"/>
      <c r="D6" s="40"/>
      <c r="E6" s="40"/>
      <c r="F6" s="45"/>
    </row>
    <row r="7" spans="1:6" ht="15.75" x14ac:dyDescent="0.25">
      <c r="A7" s="145" t="s">
        <v>5</v>
      </c>
      <c r="B7" s="145"/>
      <c r="C7" s="63" t="s">
        <v>231</v>
      </c>
      <c r="D7" s="63"/>
      <c r="E7" s="135"/>
      <c r="F7" s="135"/>
    </row>
    <row r="8" spans="1:6" ht="15.75" x14ac:dyDescent="0.25">
      <c r="A8" s="145" t="s">
        <v>7</v>
      </c>
      <c r="B8" s="145"/>
      <c r="C8" s="138" t="s">
        <v>229</v>
      </c>
      <c r="D8" s="138"/>
      <c r="E8" s="138"/>
      <c r="F8" s="138"/>
    </row>
    <row r="9" spans="1:6" ht="15.75" x14ac:dyDescent="0.25">
      <c r="A9" s="145" t="s">
        <v>8</v>
      </c>
      <c r="B9" s="145"/>
      <c r="C9" s="88">
        <v>45793</v>
      </c>
      <c r="D9" s="63"/>
      <c r="E9" s="135"/>
      <c r="F9" s="135"/>
    </row>
    <row r="10" spans="1:6" ht="15.75" x14ac:dyDescent="0.25">
      <c r="A10" s="63"/>
      <c r="B10" s="64"/>
      <c r="C10" s="64"/>
      <c r="D10" s="46"/>
      <c r="E10" s="46"/>
      <c r="F10" s="46"/>
    </row>
    <row r="11" spans="1:6" ht="13.5" thickBot="1" x14ac:dyDescent="0.25">
      <c r="A11" s="31"/>
      <c r="D11" s="66"/>
      <c r="F11" s="47"/>
    </row>
    <row r="12" spans="1:6" ht="48" thickBot="1" x14ac:dyDescent="0.25">
      <c r="A12" s="85" t="s">
        <v>9</v>
      </c>
      <c r="B12" s="86" t="s">
        <v>10</v>
      </c>
      <c r="C12" s="92" t="s">
        <v>225</v>
      </c>
      <c r="D12" s="86" t="s">
        <v>11</v>
      </c>
      <c r="E12" s="86" t="s">
        <v>226</v>
      </c>
      <c r="F12" s="87" t="s">
        <v>12</v>
      </c>
    </row>
    <row r="13" spans="1:6" s="38" customFormat="1" ht="135" customHeight="1" x14ac:dyDescent="0.2">
      <c r="A13" s="16">
        <v>1</v>
      </c>
      <c r="B13" s="17" t="s">
        <v>27</v>
      </c>
      <c r="C13" s="95" t="s">
        <v>259</v>
      </c>
      <c r="D13" s="49" t="s">
        <v>26</v>
      </c>
      <c r="E13" s="67" t="s">
        <v>19</v>
      </c>
      <c r="F13" s="26" t="s">
        <v>201</v>
      </c>
    </row>
    <row r="14" spans="1:6" s="38" customFormat="1" ht="149.25" customHeight="1" x14ac:dyDescent="0.2">
      <c r="A14" s="16">
        <f>A13+1</f>
        <v>2</v>
      </c>
      <c r="B14" s="17" t="s">
        <v>25</v>
      </c>
      <c r="C14" s="95" t="s">
        <v>260</v>
      </c>
      <c r="D14" s="49" t="s">
        <v>26</v>
      </c>
      <c r="E14" s="67" t="s">
        <v>19</v>
      </c>
      <c r="F14" s="26" t="s">
        <v>168</v>
      </c>
    </row>
    <row r="15" spans="1:6" s="38" customFormat="1" ht="45" customHeight="1" x14ac:dyDescent="0.2">
      <c r="A15" s="16">
        <f t="shared" ref="A15:A29" si="0">A14+1</f>
        <v>3</v>
      </c>
      <c r="B15" s="17" t="s">
        <v>196</v>
      </c>
      <c r="C15" s="94">
        <v>49512</v>
      </c>
      <c r="D15" s="49" t="s">
        <v>20</v>
      </c>
      <c r="E15" s="67" t="s">
        <v>19</v>
      </c>
      <c r="F15" s="26" t="s">
        <v>212</v>
      </c>
    </row>
    <row r="16" spans="1:6" s="38" customFormat="1" ht="39.75" customHeight="1" x14ac:dyDescent="0.2">
      <c r="A16" s="16">
        <f t="shared" si="0"/>
        <v>4</v>
      </c>
      <c r="B16" s="17" t="s">
        <v>18</v>
      </c>
      <c r="C16" s="95" t="s">
        <v>254</v>
      </c>
      <c r="D16" s="49" t="s">
        <v>26</v>
      </c>
      <c r="E16" s="67" t="s">
        <v>19</v>
      </c>
      <c r="F16" s="26" t="s">
        <v>21</v>
      </c>
    </row>
    <row r="17" spans="1:6" s="38" customFormat="1" ht="65.25" customHeight="1" x14ac:dyDescent="0.2">
      <c r="A17" s="16">
        <f t="shared" si="0"/>
        <v>5</v>
      </c>
      <c r="B17" s="21" t="s">
        <v>41</v>
      </c>
      <c r="C17" s="95">
        <v>35423</v>
      </c>
      <c r="D17" s="49" t="s">
        <v>26</v>
      </c>
      <c r="E17" s="67" t="s">
        <v>19</v>
      </c>
      <c r="F17" s="21" t="s">
        <v>219</v>
      </c>
    </row>
    <row r="18" spans="1:6" s="38" customFormat="1" ht="201.75" customHeight="1" x14ac:dyDescent="0.2">
      <c r="A18" s="16">
        <f t="shared" si="0"/>
        <v>6</v>
      </c>
      <c r="B18" s="17" t="s">
        <v>36</v>
      </c>
      <c r="C18" s="94">
        <v>34248</v>
      </c>
      <c r="D18" s="49" t="s">
        <v>26</v>
      </c>
      <c r="E18" s="67" t="s">
        <v>19</v>
      </c>
      <c r="F18" s="26" t="s">
        <v>348</v>
      </c>
    </row>
    <row r="19" spans="1:6" s="38" customFormat="1" ht="66" customHeight="1" x14ac:dyDescent="0.2">
      <c r="A19" s="16">
        <f t="shared" si="0"/>
        <v>7</v>
      </c>
      <c r="B19" s="17" t="s">
        <v>28</v>
      </c>
      <c r="C19" s="95" t="s">
        <v>257</v>
      </c>
      <c r="D19" s="49" t="s">
        <v>26</v>
      </c>
      <c r="E19" s="50" t="s">
        <v>19</v>
      </c>
      <c r="F19" s="26" t="s">
        <v>105</v>
      </c>
    </row>
    <row r="20" spans="1:6" s="38" customFormat="1" ht="76.5" x14ac:dyDescent="0.2">
      <c r="A20" s="16">
        <f t="shared" si="0"/>
        <v>8</v>
      </c>
      <c r="B20" s="17" t="s">
        <v>107</v>
      </c>
      <c r="C20" s="94">
        <v>30784</v>
      </c>
      <c r="D20" s="49" t="s">
        <v>50</v>
      </c>
      <c r="E20" s="67" t="s">
        <v>19</v>
      </c>
      <c r="F20" s="26" t="s">
        <v>352</v>
      </c>
    </row>
    <row r="21" spans="1:6" s="38" customFormat="1" ht="76.5" x14ac:dyDescent="0.2">
      <c r="A21" s="16">
        <f t="shared" si="0"/>
        <v>9</v>
      </c>
      <c r="B21" s="17" t="s">
        <v>31</v>
      </c>
      <c r="C21" s="95" t="s">
        <v>255</v>
      </c>
      <c r="D21" s="49" t="s">
        <v>26</v>
      </c>
      <c r="E21" s="50" t="s">
        <v>19</v>
      </c>
      <c r="F21" s="26" t="s">
        <v>169</v>
      </c>
    </row>
    <row r="22" spans="1:6" s="38" customFormat="1" ht="76.5" x14ac:dyDescent="0.2">
      <c r="A22" s="16">
        <f t="shared" si="0"/>
        <v>10</v>
      </c>
      <c r="B22" s="17" t="s">
        <v>32</v>
      </c>
      <c r="C22" s="95" t="s">
        <v>256</v>
      </c>
      <c r="D22" s="49" t="s">
        <v>26</v>
      </c>
      <c r="E22" s="67" t="s">
        <v>19</v>
      </c>
      <c r="F22" s="26" t="s">
        <v>171</v>
      </c>
    </row>
    <row r="23" spans="1:6" s="38" customFormat="1" ht="59.25" customHeight="1" x14ac:dyDescent="0.2">
      <c r="A23" s="16">
        <f t="shared" si="0"/>
        <v>11</v>
      </c>
      <c r="B23" s="17" t="s">
        <v>150</v>
      </c>
      <c r="C23" s="94">
        <v>49821</v>
      </c>
      <c r="D23" s="49" t="s">
        <v>96</v>
      </c>
      <c r="E23" s="67" t="s">
        <v>19</v>
      </c>
      <c r="F23" s="26" t="s">
        <v>357</v>
      </c>
    </row>
    <row r="24" spans="1:6" s="38" customFormat="1" ht="25.5" x14ac:dyDescent="0.2">
      <c r="A24" s="16">
        <f t="shared" si="0"/>
        <v>12</v>
      </c>
      <c r="B24" s="17" t="s">
        <v>111</v>
      </c>
      <c r="C24" s="94">
        <v>37917</v>
      </c>
      <c r="D24" s="49" t="s">
        <v>20</v>
      </c>
      <c r="E24" s="67" t="s">
        <v>19</v>
      </c>
      <c r="F24" s="26" t="s">
        <v>163</v>
      </c>
    </row>
    <row r="25" spans="1:6" s="38" customFormat="1" ht="63.75" x14ac:dyDescent="0.2">
      <c r="A25" s="16">
        <f t="shared" si="0"/>
        <v>13</v>
      </c>
      <c r="B25" s="17" t="s">
        <v>114</v>
      </c>
      <c r="C25" s="95" t="s">
        <v>262</v>
      </c>
      <c r="D25" s="49" t="s">
        <v>20</v>
      </c>
      <c r="E25" s="67" t="s">
        <v>29</v>
      </c>
      <c r="F25" s="26" t="s">
        <v>216</v>
      </c>
    </row>
    <row r="26" spans="1:6" s="38" customFormat="1" ht="76.5" x14ac:dyDescent="0.2">
      <c r="A26" s="16">
        <f t="shared" si="0"/>
        <v>14</v>
      </c>
      <c r="B26" s="17" t="s">
        <v>113</v>
      </c>
      <c r="C26" s="95" t="s">
        <v>261</v>
      </c>
      <c r="D26" s="49" t="s">
        <v>20</v>
      </c>
      <c r="E26" s="67" t="s">
        <v>29</v>
      </c>
      <c r="F26" s="26" t="s">
        <v>30</v>
      </c>
    </row>
    <row r="27" spans="1:6" s="38" customFormat="1" ht="128.25" customHeight="1" x14ac:dyDescent="0.2">
      <c r="A27" s="16">
        <f t="shared" si="0"/>
        <v>15</v>
      </c>
      <c r="B27" s="17" t="s">
        <v>39</v>
      </c>
      <c r="C27" s="94">
        <v>47790</v>
      </c>
      <c r="D27" s="49" t="s">
        <v>40</v>
      </c>
      <c r="E27" s="67" t="s">
        <v>19</v>
      </c>
      <c r="F27" s="21" t="s">
        <v>218</v>
      </c>
    </row>
    <row r="28" spans="1:6" s="38" customFormat="1" ht="25.5" x14ac:dyDescent="0.2">
      <c r="A28" s="16">
        <f t="shared" si="0"/>
        <v>16</v>
      </c>
      <c r="B28" s="17" t="s">
        <v>35</v>
      </c>
      <c r="C28" s="95" t="s">
        <v>258</v>
      </c>
      <c r="D28" s="49" t="s">
        <v>26</v>
      </c>
      <c r="E28" s="67" t="s">
        <v>14</v>
      </c>
      <c r="F28" s="21" t="s">
        <v>30</v>
      </c>
    </row>
    <row r="29" spans="1:6" s="38" customFormat="1" ht="25.5" x14ac:dyDescent="0.2">
      <c r="A29" s="16">
        <f t="shared" si="0"/>
        <v>17</v>
      </c>
      <c r="B29" s="17" t="s">
        <v>115</v>
      </c>
      <c r="C29" s="94">
        <v>22060</v>
      </c>
      <c r="D29" s="49" t="s">
        <v>20</v>
      </c>
      <c r="E29" s="67" t="s">
        <v>29</v>
      </c>
      <c r="F29" s="26" t="s">
        <v>181</v>
      </c>
    </row>
    <row r="30" spans="1:6" x14ac:dyDescent="0.2">
      <c r="A30" s="39"/>
      <c r="B30" s="43"/>
      <c r="C30" s="96"/>
      <c r="D30" s="69"/>
      <c r="E30" s="65"/>
      <c r="F30" s="58"/>
    </row>
    <row r="31" spans="1:6" x14ac:dyDescent="0.2">
      <c r="A31" s="39"/>
      <c r="B31" s="43"/>
      <c r="C31" s="96"/>
      <c r="D31" s="69"/>
      <c r="E31" s="65"/>
      <c r="F31" s="58"/>
    </row>
    <row r="32" spans="1:6" ht="24" customHeight="1" x14ac:dyDescent="0.2"/>
    <row r="33" spans="1:6" x14ac:dyDescent="0.2">
      <c r="A33" s="148"/>
      <c r="B33" s="149"/>
      <c r="C33" s="149"/>
      <c r="D33" s="149"/>
      <c r="E33" s="149"/>
      <c r="F33" s="149"/>
    </row>
    <row r="34" spans="1:6" ht="15" x14ac:dyDescent="0.25">
      <c r="A34" s="146" t="s">
        <v>17</v>
      </c>
      <c r="B34" s="147"/>
      <c r="C34" s="147"/>
      <c r="D34" s="147"/>
      <c r="E34" s="147"/>
      <c r="F34" s="147"/>
    </row>
  </sheetData>
  <autoFilter ref="A12:F29" xr:uid="{FAE45BDD-D88F-41E6-861F-A2AF1DDD9767}">
    <sortState xmlns:xlrd2="http://schemas.microsoft.com/office/spreadsheetml/2017/richdata2" ref="A13:F29">
      <sortCondition ref="B12:B29"/>
    </sortState>
  </autoFilter>
  <mergeCells count="12">
    <mergeCell ref="A34:F34"/>
    <mergeCell ref="A1:F1"/>
    <mergeCell ref="A2:E2"/>
    <mergeCell ref="A4:F4"/>
    <mergeCell ref="A5:F5"/>
    <mergeCell ref="A7:B7"/>
    <mergeCell ref="E7:F7"/>
    <mergeCell ref="A8:B8"/>
    <mergeCell ref="A9:B9"/>
    <mergeCell ref="E9:F9"/>
    <mergeCell ref="A33:F33"/>
    <mergeCell ref="C8:F8"/>
  </mergeCells>
  <pageMargins left="0.70866141732283472" right="0.70866141732283472" top="0.74803149606299213" bottom="0.74803149606299213" header="0.31496062992125984" footer="0.31496062992125984"/>
  <pageSetup scale="55"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87707-BF7F-4EE3-9956-2A82DD9F1803}">
  <sheetPr>
    <tabColor rgb="FFFFFF00"/>
    <pageSetUpPr fitToPage="1"/>
  </sheetPr>
  <dimension ref="A1:N42"/>
  <sheetViews>
    <sheetView view="pageBreakPreview" topLeftCell="A27" zoomScale="60" zoomScaleNormal="70" workbookViewId="0">
      <selection activeCell="F27" sqref="F27"/>
    </sheetView>
  </sheetViews>
  <sheetFormatPr baseColWidth="10" defaultColWidth="11.42578125" defaultRowHeight="12.75" x14ac:dyDescent="0.2"/>
  <cols>
    <col min="1" max="1" width="5" style="1" bestFit="1" customWidth="1"/>
    <col min="2" max="2" width="37.42578125" style="31" bestFit="1" customWidth="1"/>
    <col min="3" max="3" width="16.5703125" style="24" customWidth="1"/>
    <col min="4" max="4" width="15.140625" style="128" customWidth="1"/>
    <col min="5" max="5" width="15.42578125" style="51" customWidth="1"/>
    <col min="6" max="6" width="53.7109375" style="32" customWidth="1"/>
  </cols>
  <sheetData>
    <row r="1" spans="1:14" ht="30" customHeight="1" x14ac:dyDescent="0.2">
      <c r="A1" s="134" t="s">
        <v>0</v>
      </c>
      <c r="B1" s="134"/>
      <c r="C1" s="134"/>
      <c r="D1" s="134"/>
      <c r="E1" s="134"/>
      <c r="F1" s="134"/>
    </row>
    <row r="2" spans="1:14" ht="23.25" customHeight="1" x14ac:dyDescent="0.2">
      <c r="A2" s="133" t="s">
        <v>1</v>
      </c>
      <c r="B2" s="133"/>
      <c r="C2" s="133"/>
      <c r="D2" s="133"/>
      <c r="E2" s="133"/>
      <c r="F2" s="25" t="s">
        <v>227</v>
      </c>
    </row>
    <row r="3" spans="1:14" ht="14.25" x14ac:dyDescent="0.2">
      <c r="A3" s="12" t="s">
        <v>2</v>
      </c>
      <c r="B3" s="44"/>
      <c r="C3" s="44"/>
      <c r="D3" s="65"/>
      <c r="E3" s="61"/>
      <c r="F3" s="44" t="s">
        <v>3</v>
      </c>
    </row>
    <row r="4" spans="1:14" ht="20.25" x14ac:dyDescent="0.3">
      <c r="A4" s="141" t="s">
        <v>4</v>
      </c>
      <c r="B4" s="142"/>
      <c r="C4" s="142"/>
      <c r="D4" s="142"/>
      <c r="E4" s="142"/>
      <c r="F4" s="142"/>
    </row>
    <row r="5" spans="1:14" ht="26.25" customHeight="1" x14ac:dyDescent="0.25">
      <c r="A5" s="143" t="s">
        <v>230</v>
      </c>
      <c r="B5" s="144"/>
      <c r="C5" s="144"/>
      <c r="D5" s="144"/>
      <c r="E5" s="144"/>
      <c r="F5" s="144"/>
    </row>
    <row r="6" spans="1:14" ht="15" x14ac:dyDescent="0.2">
      <c r="A6" s="62"/>
      <c r="B6" s="40"/>
      <c r="C6" s="40"/>
      <c r="D6" s="122"/>
      <c r="E6" s="40"/>
      <c r="F6" s="45"/>
    </row>
    <row r="7" spans="1:14" ht="15.75" x14ac:dyDescent="0.25">
      <c r="A7" s="145" t="s">
        <v>5</v>
      </c>
      <c r="B7" s="145"/>
      <c r="C7" s="23" t="s">
        <v>42</v>
      </c>
      <c r="D7" s="123"/>
      <c r="E7" s="135"/>
      <c r="F7" s="135"/>
    </row>
    <row r="8" spans="1:14" ht="15.75" customHeight="1" x14ac:dyDescent="0.25">
      <c r="A8" s="145" t="s">
        <v>7</v>
      </c>
      <c r="B8" s="145"/>
      <c r="C8" s="138" t="s">
        <v>229</v>
      </c>
      <c r="D8" s="138"/>
      <c r="E8" s="138"/>
      <c r="F8" s="138"/>
    </row>
    <row r="9" spans="1:14" ht="15.75" x14ac:dyDescent="0.25">
      <c r="A9" s="145" t="s">
        <v>8</v>
      </c>
      <c r="B9" s="145"/>
      <c r="C9" s="89">
        <v>45793</v>
      </c>
      <c r="D9" s="123"/>
      <c r="E9" s="135"/>
      <c r="F9" s="135"/>
    </row>
    <row r="10" spans="1:14" ht="15.75" x14ac:dyDescent="0.25">
      <c r="A10" s="63"/>
      <c r="B10" s="64"/>
      <c r="C10" s="64"/>
      <c r="D10" s="124"/>
      <c r="E10" s="46"/>
      <c r="F10" s="46"/>
    </row>
    <row r="11" spans="1:14" ht="13.5" thickBot="1" x14ac:dyDescent="0.25">
      <c r="A11" s="31"/>
      <c r="B11" s="44"/>
      <c r="C11" s="44"/>
      <c r="D11" s="125"/>
      <c r="E11" s="61"/>
      <c r="F11" s="47"/>
    </row>
    <row r="12" spans="1:14" ht="48" thickBot="1" x14ac:dyDescent="0.25">
      <c r="A12" s="85" t="s">
        <v>9</v>
      </c>
      <c r="B12" s="86" t="s">
        <v>10</v>
      </c>
      <c r="C12" s="86" t="s">
        <v>225</v>
      </c>
      <c r="D12" s="86" t="s">
        <v>11</v>
      </c>
      <c r="E12" s="86" t="s">
        <v>226</v>
      </c>
      <c r="F12" s="87" t="s">
        <v>12</v>
      </c>
    </row>
    <row r="13" spans="1:14" s="38" customFormat="1" ht="87.75" customHeight="1" x14ac:dyDescent="0.2">
      <c r="A13" s="16">
        <v>1</v>
      </c>
      <c r="B13" s="21" t="s">
        <v>139</v>
      </c>
      <c r="C13" s="67">
        <v>34420</v>
      </c>
      <c r="D13" s="126" t="s">
        <v>26</v>
      </c>
      <c r="E13" s="67" t="s">
        <v>19</v>
      </c>
      <c r="F13" s="26" t="s">
        <v>345</v>
      </c>
    </row>
    <row r="14" spans="1:14" s="38" customFormat="1" ht="38.25" customHeight="1" x14ac:dyDescent="0.2">
      <c r="A14" s="16">
        <f>A13+1</f>
        <v>2</v>
      </c>
      <c r="B14" s="17" t="s">
        <v>33</v>
      </c>
      <c r="C14" s="67">
        <v>38641</v>
      </c>
      <c r="D14" s="126" t="s">
        <v>48</v>
      </c>
      <c r="E14" s="120" t="s">
        <v>224</v>
      </c>
      <c r="F14" s="26" t="s">
        <v>223</v>
      </c>
    </row>
    <row r="15" spans="1:14" s="38" customFormat="1" ht="39.75" customHeight="1" x14ac:dyDescent="0.2">
      <c r="A15" s="16">
        <f t="shared" ref="A15:A38" si="0">A14+1</f>
        <v>3</v>
      </c>
      <c r="B15" s="17" t="s">
        <v>33</v>
      </c>
      <c r="C15" s="67">
        <v>39161</v>
      </c>
      <c r="D15" s="126" t="s">
        <v>34</v>
      </c>
      <c r="E15" s="67" t="s">
        <v>19</v>
      </c>
      <c r="F15" s="84" t="s">
        <v>341</v>
      </c>
    </row>
    <row r="16" spans="1:14" s="38" customFormat="1" ht="33" customHeight="1" x14ac:dyDescent="0.2">
      <c r="A16" s="16">
        <f t="shared" si="0"/>
        <v>4</v>
      </c>
      <c r="B16" s="17" t="s">
        <v>33</v>
      </c>
      <c r="C16" s="67">
        <v>39171</v>
      </c>
      <c r="D16" s="126" t="s">
        <v>34</v>
      </c>
      <c r="E16" s="67" t="s">
        <v>19</v>
      </c>
      <c r="F16" s="84" t="s">
        <v>341</v>
      </c>
      <c r="N16" s="38" t="s">
        <v>343</v>
      </c>
    </row>
    <row r="17" spans="1:6" s="38" customFormat="1" ht="72.75" customHeight="1" x14ac:dyDescent="0.2">
      <c r="A17" s="16">
        <f t="shared" si="0"/>
        <v>5</v>
      </c>
      <c r="B17" s="17" t="s">
        <v>153</v>
      </c>
      <c r="C17" s="50" t="s">
        <v>304</v>
      </c>
      <c r="D17" s="127" t="s">
        <v>236</v>
      </c>
      <c r="E17" s="67" t="s">
        <v>19</v>
      </c>
      <c r="F17" s="26" t="s">
        <v>198</v>
      </c>
    </row>
    <row r="18" spans="1:6" s="38" customFormat="1" ht="72.75" customHeight="1" x14ac:dyDescent="0.2">
      <c r="A18" s="16">
        <f t="shared" si="0"/>
        <v>6</v>
      </c>
      <c r="B18" s="17" t="s">
        <v>153</v>
      </c>
      <c r="C18" s="71">
        <v>44904</v>
      </c>
      <c r="D18" s="127" t="s">
        <v>236</v>
      </c>
      <c r="E18" s="119" t="s">
        <v>224</v>
      </c>
      <c r="F18" s="26" t="s">
        <v>337</v>
      </c>
    </row>
    <row r="19" spans="1:6" s="38" customFormat="1" ht="72.75" customHeight="1" x14ac:dyDescent="0.2">
      <c r="A19" s="16">
        <f t="shared" si="0"/>
        <v>7</v>
      </c>
      <c r="B19" s="17" t="s">
        <v>197</v>
      </c>
      <c r="C19" s="67">
        <v>35394</v>
      </c>
      <c r="D19" s="126" t="s">
        <v>50</v>
      </c>
      <c r="E19" s="119" t="s">
        <v>224</v>
      </c>
      <c r="F19" s="26" t="s">
        <v>344</v>
      </c>
    </row>
    <row r="20" spans="1:6" s="38" customFormat="1" ht="156" customHeight="1" x14ac:dyDescent="0.2">
      <c r="A20" s="16">
        <f t="shared" si="0"/>
        <v>8</v>
      </c>
      <c r="B20" s="17" t="s">
        <v>27</v>
      </c>
      <c r="C20" s="67">
        <v>34749</v>
      </c>
      <c r="D20" s="126" t="s">
        <v>26</v>
      </c>
      <c r="E20" s="67" t="s">
        <v>19</v>
      </c>
      <c r="F20" s="26" t="s">
        <v>200</v>
      </c>
    </row>
    <row r="21" spans="1:6" s="38" customFormat="1" ht="182.25" customHeight="1" x14ac:dyDescent="0.2">
      <c r="A21" s="16">
        <f t="shared" si="0"/>
        <v>9</v>
      </c>
      <c r="B21" s="17" t="s">
        <v>25</v>
      </c>
      <c r="C21" s="50" t="s">
        <v>266</v>
      </c>
      <c r="D21" s="126" t="s">
        <v>26</v>
      </c>
      <c r="E21" s="67" t="s">
        <v>19</v>
      </c>
      <c r="F21" s="26" t="s">
        <v>168</v>
      </c>
    </row>
    <row r="22" spans="1:6" s="38" customFormat="1" ht="30" customHeight="1" x14ac:dyDescent="0.2">
      <c r="A22" s="16">
        <f t="shared" si="0"/>
        <v>10</v>
      </c>
      <c r="B22" s="17" t="s">
        <v>116</v>
      </c>
      <c r="C22" s="67">
        <v>1</v>
      </c>
      <c r="D22" s="126" t="s">
        <v>20</v>
      </c>
      <c r="E22" s="67" t="s">
        <v>14</v>
      </c>
      <c r="F22" s="26" t="s">
        <v>178</v>
      </c>
    </row>
    <row r="23" spans="1:6" s="38" customFormat="1" ht="25.5" x14ac:dyDescent="0.2">
      <c r="A23" s="16">
        <f t="shared" si="0"/>
        <v>11</v>
      </c>
      <c r="B23" s="17" t="s">
        <v>196</v>
      </c>
      <c r="C23" s="67">
        <v>49513</v>
      </c>
      <c r="D23" s="126" t="s">
        <v>20</v>
      </c>
      <c r="E23" s="67" t="s">
        <v>19</v>
      </c>
      <c r="F23" s="26" t="s">
        <v>212</v>
      </c>
    </row>
    <row r="24" spans="1:6" s="38" customFormat="1" ht="159.75" customHeight="1" x14ac:dyDescent="0.2">
      <c r="A24" s="16">
        <f t="shared" si="0"/>
        <v>12</v>
      </c>
      <c r="B24" s="17" t="s">
        <v>46</v>
      </c>
      <c r="C24" s="67">
        <v>34373</v>
      </c>
      <c r="D24" s="126" t="s">
        <v>26</v>
      </c>
      <c r="E24" s="67" t="s">
        <v>19</v>
      </c>
      <c r="F24" s="26" t="s">
        <v>199</v>
      </c>
    </row>
    <row r="25" spans="1:6" s="38" customFormat="1" ht="220.5" customHeight="1" x14ac:dyDescent="0.2">
      <c r="A25" s="16">
        <f t="shared" si="0"/>
        <v>13</v>
      </c>
      <c r="B25" s="17" t="s">
        <v>43</v>
      </c>
      <c r="C25" s="67">
        <v>34247</v>
      </c>
      <c r="D25" s="126" t="s">
        <v>26</v>
      </c>
      <c r="E25" s="67" t="s">
        <v>19</v>
      </c>
      <c r="F25" s="26" t="s">
        <v>349</v>
      </c>
    </row>
    <row r="26" spans="1:6" s="38" customFormat="1" ht="212.25" customHeight="1" x14ac:dyDescent="0.2">
      <c r="A26" s="16">
        <f t="shared" si="0"/>
        <v>14</v>
      </c>
      <c r="B26" s="17" t="s">
        <v>44</v>
      </c>
      <c r="C26" s="67">
        <v>34515</v>
      </c>
      <c r="D26" s="126" t="s">
        <v>26</v>
      </c>
      <c r="E26" s="67" t="s">
        <v>19</v>
      </c>
      <c r="F26" s="26" t="s">
        <v>349</v>
      </c>
    </row>
    <row r="27" spans="1:6" s="38" customFormat="1" ht="211.5" customHeight="1" x14ac:dyDescent="0.2">
      <c r="A27" s="16">
        <f t="shared" si="0"/>
        <v>15</v>
      </c>
      <c r="B27" s="17" t="s">
        <v>45</v>
      </c>
      <c r="C27" s="67">
        <v>34520</v>
      </c>
      <c r="D27" s="126" t="s">
        <v>26</v>
      </c>
      <c r="E27" s="67" t="s">
        <v>19</v>
      </c>
      <c r="F27" s="26" t="s">
        <v>349</v>
      </c>
    </row>
    <row r="28" spans="1:6" s="38" customFormat="1" ht="63.75" customHeight="1" x14ac:dyDescent="0.2">
      <c r="A28" s="16">
        <f t="shared" si="0"/>
        <v>16</v>
      </c>
      <c r="B28" s="17" t="s">
        <v>28</v>
      </c>
      <c r="C28" s="50" t="s">
        <v>264</v>
      </c>
      <c r="D28" s="126" t="s">
        <v>26</v>
      </c>
      <c r="E28" s="50" t="s">
        <v>19</v>
      </c>
      <c r="F28" s="26" t="s">
        <v>180</v>
      </c>
    </row>
    <row r="29" spans="1:6" s="38" customFormat="1" ht="84.75" customHeight="1" x14ac:dyDescent="0.2">
      <c r="A29" s="16">
        <f t="shared" si="0"/>
        <v>17</v>
      </c>
      <c r="B29" s="17" t="s">
        <v>137</v>
      </c>
      <c r="C29" s="67">
        <v>1</v>
      </c>
      <c r="D29" s="126" t="s">
        <v>50</v>
      </c>
      <c r="E29" s="67" t="s">
        <v>19</v>
      </c>
      <c r="F29" s="26" t="s">
        <v>352</v>
      </c>
    </row>
    <row r="30" spans="1:6" s="38" customFormat="1" ht="76.5" x14ac:dyDescent="0.2">
      <c r="A30" s="16">
        <f t="shared" si="0"/>
        <v>18</v>
      </c>
      <c r="B30" s="17" t="s">
        <v>150</v>
      </c>
      <c r="C30" s="67">
        <v>1</v>
      </c>
      <c r="D30" s="126" t="s">
        <v>74</v>
      </c>
      <c r="E30" s="50" t="s">
        <v>19</v>
      </c>
      <c r="F30" s="26" t="s">
        <v>217</v>
      </c>
    </row>
    <row r="31" spans="1:6" s="38" customFormat="1" ht="57.75" customHeight="1" x14ac:dyDescent="0.2">
      <c r="A31" s="16">
        <f t="shared" si="0"/>
        <v>19</v>
      </c>
      <c r="B31" s="17" t="s">
        <v>49</v>
      </c>
      <c r="C31" s="50" t="s">
        <v>263</v>
      </c>
      <c r="D31" s="126" t="s">
        <v>26</v>
      </c>
      <c r="E31" s="67" t="s">
        <v>19</v>
      </c>
      <c r="F31" s="26" t="s">
        <v>171</v>
      </c>
    </row>
    <row r="32" spans="1:6" s="38" customFormat="1" ht="51" x14ac:dyDescent="0.2">
      <c r="A32" s="16">
        <f t="shared" si="0"/>
        <v>20</v>
      </c>
      <c r="B32" s="17" t="s">
        <v>111</v>
      </c>
      <c r="C32" s="50" t="s">
        <v>265</v>
      </c>
      <c r="D32" s="126" t="s">
        <v>20</v>
      </c>
      <c r="E32" s="67" t="s">
        <v>19</v>
      </c>
      <c r="F32" s="26" t="s">
        <v>163</v>
      </c>
    </row>
    <row r="33" spans="1:6" s="38" customFormat="1" ht="19.5" customHeight="1" x14ac:dyDescent="0.2">
      <c r="A33" s="16">
        <f t="shared" si="0"/>
        <v>21</v>
      </c>
      <c r="B33" s="17" t="s">
        <v>114</v>
      </c>
      <c r="C33" s="67">
        <v>23096</v>
      </c>
      <c r="D33" s="126" t="s">
        <v>20</v>
      </c>
      <c r="E33" s="67" t="s">
        <v>29</v>
      </c>
      <c r="F33" s="26" t="s">
        <v>30</v>
      </c>
    </row>
    <row r="34" spans="1:6" s="38" customFormat="1" ht="51" x14ac:dyDescent="0.2">
      <c r="A34" s="16">
        <f t="shared" si="0"/>
        <v>22</v>
      </c>
      <c r="B34" s="17" t="s">
        <v>113</v>
      </c>
      <c r="C34" s="50" t="s">
        <v>267</v>
      </c>
      <c r="D34" s="126" t="s">
        <v>20</v>
      </c>
      <c r="E34" s="67" t="s">
        <v>29</v>
      </c>
      <c r="F34" s="26" t="s">
        <v>30</v>
      </c>
    </row>
    <row r="35" spans="1:6" s="38" customFormat="1" x14ac:dyDescent="0.2">
      <c r="A35" s="16">
        <f t="shared" ref="A35" si="1">A34+1</f>
        <v>23</v>
      </c>
      <c r="B35" s="21" t="s">
        <v>268</v>
      </c>
      <c r="C35" s="50">
        <v>20540</v>
      </c>
      <c r="D35" s="126" t="s">
        <v>20</v>
      </c>
      <c r="E35" s="67" t="s">
        <v>29</v>
      </c>
      <c r="F35" s="26" t="s">
        <v>30</v>
      </c>
    </row>
    <row r="36" spans="1:6" s="38" customFormat="1" x14ac:dyDescent="0.2">
      <c r="A36" s="16">
        <f>A34+1</f>
        <v>23</v>
      </c>
      <c r="B36" s="17" t="s">
        <v>47</v>
      </c>
      <c r="C36" s="71">
        <v>4</v>
      </c>
      <c r="D36" s="126" t="s">
        <v>26</v>
      </c>
      <c r="E36" s="67" t="s">
        <v>14</v>
      </c>
      <c r="F36" s="26" t="s">
        <v>30</v>
      </c>
    </row>
    <row r="37" spans="1:6" s="38" customFormat="1" ht="25.5" x14ac:dyDescent="0.2">
      <c r="A37" s="16">
        <f t="shared" si="0"/>
        <v>24</v>
      </c>
      <c r="B37" s="17" t="s">
        <v>115</v>
      </c>
      <c r="C37" s="67">
        <v>33306</v>
      </c>
      <c r="D37" s="126" t="s">
        <v>20</v>
      </c>
      <c r="E37" s="67" t="s">
        <v>29</v>
      </c>
      <c r="F37" s="26" t="s">
        <v>181</v>
      </c>
    </row>
    <row r="38" spans="1:6" ht="38.25" x14ac:dyDescent="0.2">
      <c r="A38" s="16">
        <f t="shared" si="0"/>
        <v>25</v>
      </c>
      <c r="B38" s="21" t="s">
        <v>161</v>
      </c>
      <c r="C38" s="67">
        <v>49236</v>
      </c>
      <c r="D38" s="126" t="s">
        <v>20</v>
      </c>
      <c r="E38" s="50" t="s">
        <v>19</v>
      </c>
      <c r="F38" s="26" t="s">
        <v>160</v>
      </c>
    </row>
    <row r="39" spans="1:6" ht="15.75" x14ac:dyDescent="0.25">
      <c r="A39" s="10"/>
      <c r="B39" s="63"/>
      <c r="C39" s="63"/>
      <c r="D39" s="70"/>
      <c r="E39" s="63"/>
      <c r="F39" s="33"/>
    </row>
    <row r="40" spans="1:6" ht="57" customHeight="1" x14ac:dyDescent="0.2"/>
    <row r="41" spans="1:6" x14ac:dyDescent="0.2">
      <c r="A41" s="148"/>
      <c r="B41" s="149"/>
      <c r="C41" s="149"/>
      <c r="D41" s="149"/>
      <c r="E41" s="149"/>
      <c r="F41" s="149"/>
    </row>
    <row r="42" spans="1:6" ht="15" x14ac:dyDescent="0.25">
      <c r="A42" s="146" t="s">
        <v>17</v>
      </c>
      <c r="B42" s="147"/>
      <c r="C42" s="147"/>
      <c r="D42" s="147"/>
      <c r="E42" s="147"/>
      <c r="F42" s="147"/>
    </row>
  </sheetData>
  <autoFilter ref="A12:F37" xr:uid="{B9587707-BF7F-4EE3-9956-2A82DD9F1803}">
    <sortState xmlns:xlrd2="http://schemas.microsoft.com/office/spreadsheetml/2017/richdata2" ref="A13:F37">
      <sortCondition ref="B12:B37"/>
    </sortState>
  </autoFilter>
  <mergeCells count="12">
    <mergeCell ref="A42:F42"/>
    <mergeCell ref="A1:F1"/>
    <mergeCell ref="A2:E2"/>
    <mergeCell ref="A4:F4"/>
    <mergeCell ref="A5:F5"/>
    <mergeCell ref="A7:B7"/>
    <mergeCell ref="A8:B8"/>
    <mergeCell ref="C8:F8"/>
    <mergeCell ref="A9:B9"/>
    <mergeCell ref="A41:F41"/>
    <mergeCell ref="E7:F7"/>
    <mergeCell ref="E9:F9"/>
  </mergeCells>
  <pageMargins left="0.70866141732283472" right="0.70866141732283472" top="0.74803149606299213" bottom="0.74803149606299213" header="0.31496062992125984" footer="0.31496062992125984"/>
  <pageSetup scale="64" fitToHeight="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948D-888F-479D-A28C-4B50D1F10F65}">
  <sheetPr>
    <tabColor rgb="FFFFFF00"/>
    <pageSetUpPr fitToPage="1"/>
  </sheetPr>
  <dimension ref="A1:F38"/>
  <sheetViews>
    <sheetView view="pageBreakPreview" topLeftCell="A15" zoomScale="60" zoomScaleNormal="80" workbookViewId="0">
      <selection activeCell="F17" sqref="F17"/>
    </sheetView>
  </sheetViews>
  <sheetFormatPr baseColWidth="10" defaultColWidth="11.42578125" defaultRowHeight="12.75" x14ac:dyDescent="0.2"/>
  <cols>
    <col min="1" max="1" width="7.140625" style="39" customWidth="1"/>
    <col min="2" max="2" width="41" style="37" customWidth="1"/>
    <col min="3" max="3" width="13.7109375" style="38" customWidth="1"/>
    <col min="4" max="4" width="13.7109375" style="38" bestFit="1" customWidth="1"/>
    <col min="5" max="5" width="15.42578125" style="39" customWidth="1"/>
    <col min="6" max="6" width="51.140625" style="43"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51</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48" thickBot="1" x14ac:dyDescent="0.25">
      <c r="A12" s="85" t="s">
        <v>9</v>
      </c>
      <c r="B12" s="86" t="s">
        <v>10</v>
      </c>
      <c r="C12" s="86" t="s">
        <v>225</v>
      </c>
      <c r="D12" s="86" t="s">
        <v>11</v>
      </c>
      <c r="E12" s="86" t="s">
        <v>226</v>
      </c>
      <c r="F12" s="87" t="s">
        <v>12</v>
      </c>
    </row>
    <row r="13" spans="1:6" ht="58.5" customHeight="1" x14ac:dyDescent="0.2">
      <c r="A13" s="16">
        <v>1</v>
      </c>
      <c r="B13" s="13" t="s">
        <v>33</v>
      </c>
      <c r="C13" s="14">
        <v>38639</v>
      </c>
      <c r="D13" s="49" t="s">
        <v>52</v>
      </c>
      <c r="E13" s="97" t="s">
        <v>224</v>
      </c>
      <c r="F13" s="26" t="s">
        <v>223</v>
      </c>
    </row>
    <row r="14" spans="1:6" ht="128.25" customHeight="1" x14ac:dyDescent="0.2">
      <c r="A14" s="16">
        <v>2</v>
      </c>
      <c r="B14" s="17" t="s">
        <v>27</v>
      </c>
      <c r="C14" s="50" t="s">
        <v>272</v>
      </c>
      <c r="D14" s="49" t="s">
        <v>26</v>
      </c>
      <c r="E14" s="14" t="s">
        <v>19</v>
      </c>
      <c r="F14" s="26" t="s">
        <v>167</v>
      </c>
    </row>
    <row r="15" spans="1:6" ht="165.75" customHeight="1" x14ac:dyDescent="0.2">
      <c r="A15" s="16">
        <v>3</v>
      </c>
      <c r="B15" s="13" t="s">
        <v>25</v>
      </c>
      <c r="C15" s="50" t="s">
        <v>273</v>
      </c>
      <c r="D15" s="49" t="s">
        <v>26</v>
      </c>
      <c r="E15" s="14" t="s">
        <v>19</v>
      </c>
      <c r="F15" s="26" t="s">
        <v>168</v>
      </c>
    </row>
    <row r="16" spans="1:6" ht="58.5" customHeight="1" x14ac:dyDescent="0.2">
      <c r="A16" s="16">
        <v>4</v>
      </c>
      <c r="B16" s="17" t="s">
        <v>196</v>
      </c>
      <c r="C16" s="67">
        <v>49514</v>
      </c>
      <c r="D16" s="49" t="s">
        <v>20</v>
      </c>
      <c r="E16" s="67" t="s">
        <v>19</v>
      </c>
      <c r="F16" s="26" t="s">
        <v>212</v>
      </c>
    </row>
    <row r="17" spans="1:6" ht="263.25" customHeight="1" x14ac:dyDescent="0.2">
      <c r="A17" s="16">
        <v>5</v>
      </c>
      <c r="B17" s="17" t="s">
        <v>36</v>
      </c>
      <c r="C17" s="14">
        <v>37251</v>
      </c>
      <c r="D17" s="49" t="s">
        <v>26</v>
      </c>
      <c r="E17" s="14" t="s">
        <v>19</v>
      </c>
      <c r="F17" s="26" t="s">
        <v>350</v>
      </c>
    </row>
    <row r="18" spans="1:6" ht="51" customHeight="1" x14ac:dyDescent="0.2">
      <c r="A18" s="16">
        <v>6</v>
      </c>
      <c r="B18" s="17" t="s">
        <v>28</v>
      </c>
      <c r="C18" s="50" t="s">
        <v>270</v>
      </c>
      <c r="D18" s="49" t="s">
        <v>26</v>
      </c>
      <c r="E18" s="16" t="s">
        <v>19</v>
      </c>
      <c r="F18" s="26" t="s">
        <v>105</v>
      </c>
    </row>
    <row r="19" spans="1:6" ht="76.5" x14ac:dyDescent="0.2">
      <c r="A19" s="16">
        <v>7</v>
      </c>
      <c r="B19" s="17" t="s">
        <v>107</v>
      </c>
      <c r="C19" s="67">
        <v>33308</v>
      </c>
      <c r="D19" s="49" t="s">
        <v>50</v>
      </c>
      <c r="E19" s="67" t="s">
        <v>19</v>
      </c>
      <c r="F19" s="26" t="s">
        <v>352</v>
      </c>
    </row>
    <row r="20" spans="1:6" ht="76.5" x14ac:dyDescent="0.2">
      <c r="A20" s="16">
        <v>8</v>
      </c>
      <c r="B20" s="17" t="s">
        <v>150</v>
      </c>
      <c r="C20" s="67">
        <v>49822</v>
      </c>
      <c r="D20" s="49" t="s">
        <v>96</v>
      </c>
      <c r="E20" s="50" t="s">
        <v>19</v>
      </c>
      <c r="F20" s="26" t="s">
        <v>217</v>
      </c>
    </row>
    <row r="21" spans="1:6" ht="80.25" customHeight="1" x14ac:dyDescent="0.2">
      <c r="A21" s="16">
        <v>9</v>
      </c>
      <c r="B21" s="17" t="s">
        <v>31</v>
      </c>
      <c r="C21" s="50" t="s">
        <v>269</v>
      </c>
      <c r="D21" s="49" t="s">
        <v>26</v>
      </c>
      <c r="E21" s="14" t="s">
        <v>19</v>
      </c>
      <c r="F21" s="26" t="s">
        <v>169</v>
      </c>
    </row>
    <row r="22" spans="1:6" ht="66.75" customHeight="1" x14ac:dyDescent="0.2">
      <c r="A22" s="16">
        <v>10</v>
      </c>
      <c r="B22" s="17" t="s">
        <v>32</v>
      </c>
      <c r="C22" s="50" t="s">
        <v>276</v>
      </c>
      <c r="D22" s="49" t="s">
        <v>26</v>
      </c>
      <c r="E22" s="14" t="s">
        <v>19</v>
      </c>
      <c r="F22" s="26" t="s">
        <v>171</v>
      </c>
    </row>
    <row r="23" spans="1:6" ht="27.75" customHeight="1" x14ac:dyDescent="0.2">
      <c r="A23" s="16">
        <v>11</v>
      </c>
      <c r="B23" s="17" t="s">
        <v>111</v>
      </c>
      <c r="C23" s="67">
        <v>37922</v>
      </c>
      <c r="D23" s="49" t="s">
        <v>20</v>
      </c>
      <c r="E23" s="67" t="s">
        <v>19</v>
      </c>
      <c r="F23" s="26" t="s">
        <v>163</v>
      </c>
    </row>
    <row r="24" spans="1:6" ht="44.25" customHeight="1" x14ac:dyDescent="0.2">
      <c r="A24" s="16">
        <v>12</v>
      </c>
      <c r="B24" s="17" t="s">
        <v>114</v>
      </c>
      <c r="C24" s="50" t="s">
        <v>275</v>
      </c>
      <c r="D24" s="49" t="s">
        <v>20</v>
      </c>
      <c r="E24" s="67" t="s">
        <v>29</v>
      </c>
      <c r="F24" s="26" t="s">
        <v>30</v>
      </c>
    </row>
    <row r="25" spans="1:6" ht="83.25" customHeight="1" x14ac:dyDescent="0.2">
      <c r="A25" s="16">
        <v>13</v>
      </c>
      <c r="B25" s="17" t="s">
        <v>113</v>
      </c>
      <c r="C25" s="50" t="s">
        <v>274</v>
      </c>
      <c r="D25" s="49" t="s">
        <v>20</v>
      </c>
      <c r="E25" s="67" t="s">
        <v>29</v>
      </c>
      <c r="F25" s="26" t="s">
        <v>30</v>
      </c>
    </row>
    <row r="26" spans="1:6" ht="60" customHeight="1" x14ac:dyDescent="0.2">
      <c r="A26" s="16">
        <v>14</v>
      </c>
      <c r="B26" s="17" t="s">
        <v>53</v>
      </c>
      <c r="C26" s="14">
        <v>47789</v>
      </c>
      <c r="D26" s="49" t="s">
        <v>54</v>
      </c>
      <c r="E26" s="14" t="s">
        <v>19</v>
      </c>
      <c r="F26" s="21" t="s">
        <v>220</v>
      </c>
    </row>
    <row r="27" spans="1:6" ht="51" x14ac:dyDescent="0.2">
      <c r="A27" s="16">
        <v>15</v>
      </c>
      <c r="B27" s="17" t="s">
        <v>35</v>
      </c>
      <c r="C27" s="50" t="s">
        <v>271</v>
      </c>
      <c r="D27" s="49" t="s">
        <v>26</v>
      </c>
      <c r="E27" s="14" t="s">
        <v>14</v>
      </c>
      <c r="F27" s="21" t="s">
        <v>30</v>
      </c>
    </row>
    <row r="28" spans="1:6" ht="25.5" x14ac:dyDescent="0.2">
      <c r="A28" s="16">
        <v>16</v>
      </c>
      <c r="B28" s="17" t="s">
        <v>115</v>
      </c>
      <c r="C28" s="14">
        <v>31169</v>
      </c>
      <c r="D28" s="15" t="s">
        <v>20</v>
      </c>
      <c r="E28" s="14" t="s">
        <v>29</v>
      </c>
      <c r="F28" s="26" t="s">
        <v>181</v>
      </c>
    </row>
    <row r="29" spans="1:6" x14ac:dyDescent="0.2">
      <c r="B29" s="43"/>
      <c r="C29" s="41"/>
      <c r="D29" s="60"/>
      <c r="E29" s="41"/>
      <c r="F29" s="58"/>
    </row>
    <row r="30" spans="1:6" x14ac:dyDescent="0.2">
      <c r="B30" s="43"/>
      <c r="C30" s="41"/>
      <c r="D30" s="60"/>
      <c r="E30" s="41"/>
      <c r="F30" s="58"/>
    </row>
    <row r="31" spans="1:6" x14ac:dyDescent="0.2">
      <c r="B31" s="43"/>
      <c r="C31" s="41"/>
      <c r="D31" s="60"/>
      <c r="E31" s="41"/>
      <c r="F31" s="58"/>
    </row>
    <row r="32" spans="1:6" x14ac:dyDescent="0.2">
      <c r="B32" s="43"/>
      <c r="C32" s="41"/>
      <c r="D32" s="60"/>
      <c r="E32" s="41"/>
      <c r="F32" s="58"/>
    </row>
    <row r="33" spans="1:6" x14ac:dyDescent="0.2">
      <c r="B33" s="43"/>
      <c r="C33" s="41"/>
      <c r="D33" s="60"/>
      <c r="E33" s="41"/>
      <c r="F33" s="58"/>
    </row>
    <row r="34" spans="1:6" x14ac:dyDescent="0.2">
      <c r="B34" s="43"/>
      <c r="C34" s="41"/>
      <c r="D34" s="60"/>
      <c r="E34" s="41"/>
      <c r="F34" s="58"/>
    </row>
    <row r="35" spans="1:6" x14ac:dyDescent="0.2">
      <c r="B35" s="43"/>
      <c r="C35" s="41"/>
      <c r="D35" s="60"/>
      <c r="E35" s="41"/>
      <c r="F35" s="58"/>
    </row>
    <row r="36" spans="1:6" ht="21" customHeight="1" x14ac:dyDescent="0.2"/>
    <row r="37" spans="1:6" x14ac:dyDescent="0.2">
      <c r="A37" s="152"/>
      <c r="B37" s="153"/>
      <c r="C37" s="153"/>
      <c r="D37" s="153"/>
      <c r="E37" s="153"/>
      <c r="F37" s="153"/>
    </row>
    <row r="38" spans="1:6" ht="15" x14ac:dyDescent="0.2">
      <c r="A38" s="150" t="s">
        <v>17</v>
      </c>
      <c r="B38" s="151"/>
      <c r="C38" s="151"/>
      <c r="D38" s="151"/>
      <c r="E38" s="151"/>
      <c r="F38" s="151"/>
    </row>
  </sheetData>
  <autoFilter ref="A12:F27" xr:uid="{4882948D-888F-479D-A28C-4B50D1F10F65}">
    <sortState xmlns:xlrd2="http://schemas.microsoft.com/office/spreadsheetml/2017/richdata2" ref="A13:F28">
      <sortCondition ref="B12:B27"/>
    </sortState>
  </autoFilter>
  <mergeCells count="12">
    <mergeCell ref="A38:F38"/>
    <mergeCell ref="A1:F1"/>
    <mergeCell ref="A2:E2"/>
    <mergeCell ref="A4:F4"/>
    <mergeCell ref="A5:F5"/>
    <mergeCell ref="A7:B7"/>
    <mergeCell ref="A8:B8"/>
    <mergeCell ref="C8:F8"/>
    <mergeCell ref="A9:B9"/>
    <mergeCell ref="A37:F37"/>
    <mergeCell ref="E7:F7"/>
    <mergeCell ref="E9:F9"/>
  </mergeCells>
  <pageMargins left="0.70866141732283472" right="0.70866141732283472" top="0.74803149606299213" bottom="0.74803149606299213" header="0.31496062992125984" footer="0.31496062992125984"/>
  <pageSetup scale="64"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F252-BDE7-4991-82A2-34125561D323}">
  <sheetPr>
    <tabColor rgb="FFFFFF00"/>
    <pageSetUpPr fitToPage="1"/>
  </sheetPr>
  <dimension ref="A1:F33"/>
  <sheetViews>
    <sheetView topLeftCell="A12" zoomScale="70" zoomScaleNormal="70" workbookViewId="0">
      <selection activeCell="K13" sqref="K13"/>
    </sheetView>
  </sheetViews>
  <sheetFormatPr baseColWidth="10" defaultColWidth="11.42578125" defaultRowHeight="12.75" x14ac:dyDescent="0.2"/>
  <cols>
    <col min="1" max="1" width="5" style="1" bestFit="1" customWidth="1"/>
    <col min="2" max="2" width="37.42578125" style="3" bestFit="1" customWidth="1"/>
    <col min="3" max="3" width="15.140625" customWidth="1"/>
    <col min="4" max="4" width="13.7109375" bestFit="1" customWidth="1"/>
    <col min="5" max="5" width="15.42578125" style="1" customWidth="1"/>
    <col min="6" max="6" width="49.28515625" style="32"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55</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48" thickBot="1" x14ac:dyDescent="0.25">
      <c r="A12" s="85" t="s">
        <v>9</v>
      </c>
      <c r="B12" s="86" t="s">
        <v>10</v>
      </c>
      <c r="C12" s="86" t="s">
        <v>225</v>
      </c>
      <c r="D12" s="86" t="s">
        <v>11</v>
      </c>
      <c r="E12" s="86" t="s">
        <v>226</v>
      </c>
      <c r="F12" s="87" t="s">
        <v>12</v>
      </c>
    </row>
    <row r="13" spans="1:6" s="38" customFormat="1" ht="41.25" customHeight="1" x14ac:dyDescent="0.2">
      <c r="A13" s="18">
        <v>1</v>
      </c>
      <c r="B13" s="13" t="s">
        <v>33</v>
      </c>
      <c r="C13" s="14">
        <v>38643</v>
      </c>
      <c r="D13" s="49" t="s">
        <v>52</v>
      </c>
      <c r="E13" s="14" t="s">
        <v>19</v>
      </c>
      <c r="F13" s="26" t="s">
        <v>342</v>
      </c>
    </row>
    <row r="14" spans="1:6" s="38" customFormat="1" ht="132" customHeight="1" x14ac:dyDescent="0.2">
      <c r="A14" s="16">
        <v>2</v>
      </c>
      <c r="B14" s="17" t="s">
        <v>27</v>
      </c>
      <c r="C14" s="50" t="s">
        <v>280</v>
      </c>
      <c r="D14" s="49" t="s">
        <v>26</v>
      </c>
      <c r="E14" s="14" t="s">
        <v>19</v>
      </c>
      <c r="F14" s="26" t="s">
        <v>167</v>
      </c>
    </row>
    <row r="15" spans="1:6" s="38" customFormat="1" ht="201.75" customHeight="1" x14ac:dyDescent="0.2">
      <c r="A15" s="16">
        <v>3</v>
      </c>
      <c r="B15" s="13" t="s">
        <v>25</v>
      </c>
      <c r="C15" s="50" t="s">
        <v>281</v>
      </c>
      <c r="D15" s="49" t="s">
        <v>26</v>
      </c>
      <c r="E15" s="14" t="s">
        <v>19</v>
      </c>
      <c r="F15" s="26" t="s">
        <v>168</v>
      </c>
    </row>
    <row r="16" spans="1:6" s="38" customFormat="1" ht="25.5" x14ac:dyDescent="0.2">
      <c r="A16" s="18">
        <v>4</v>
      </c>
      <c r="B16" s="17" t="s">
        <v>196</v>
      </c>
      <c r="C16" s="67">
        <v>49515</v>
      </c>
      <c r="D16" s="49" t="s">
        <v>20</v>
      </c>
      <c r="E16" s="67" t="s">
        <v>29</v>
      </c>
      <c r="F16" s="26" t="s">
        <v>212</v>
      </c>
    </row>
    <row r="17" spans="1:6" s="38" customFormat="1" ht="270.75" customHeight="1" x14ac:dyDescent="0.2">
      <c r="A17" s="16">
        <v>5</v>
      </c>
      <c r="B17" s="17" t="s">
        <v>36</v>
      </c>
      <c r="C17" s="14">
        <v>37250</v>
      </c>
      <c r="D17" s="49" t="s">
        <v>26</v>
      </c>
      <c r="E17" s="14" t="s">
        <v>19</v>
      </c>
      <c r="F17" s="26" t="s">
        <v>350</v>
      </c>
    </row>
    <row r="18" spans="1:6" s="38" customFormat="1" ht="74.25" customHeight="1" x14ac:dyDescent="0.2">
      <c r="A18" s="16">
        <v>6</v>
      </c>
      <c r="B18" s="17" t="s">
        <v>28</v>
      </c>
      <c r="C18" s="50" t="s">
        <v>278</v>
      </c>
      <c r="D18" s="49" t="s">
        <v>26</v>
      </c>
      <c r="E18" s="16" t="s">
        <v>19</v>
      </c>
      <c r="F18" s="26" t="s">
        <v>105</v>
      </c>
    </row>
    <row r="19" spans="1:6" s="38" customFormat="1" ht="89.25" x14ac:dyDescent="0.2">
      <c r="A19" s="18">
        <v>7</v>
      </c>
      <c r="B19" s="17" t="s">
        <v>107</v>
      </c>
      <c r="C19" s="67">
        <v>35075</v>
      </c>
      <c r="D19" s="49" t="s">
        <v>50</v>
      </c>
      <c r="E19" s="67" t="s">
        <v>19</v>
      </c>
      <c r="F19" s="26" t="s">
        <v>352</v>
      </c>
    </row>
    <row r="20" spans="1:6" s="38" customFormat="1" ht="83.25" customHeight="1" x14ac:dyDescent="0.2">
      <c r="A20" s="16">
        <v>8</v>
      </c>
      <c r="B20" s="17" t="s">
        <v>31</v>
      </c>
      <c r="C20" s="50" t="s">
        <v>277</v>
      </c>
      <c r="D20" s="49" t="s">
        <v>26</v>
      </c>
      <c r="E20" s="14" t="s">
        <v>19</v>
      </c>
      <c r="F20" s="26" t="s">
        <v>169</v>
      </c>
    </row>
    <row r="21" spans="1:6" s="38" customFormat="1" ht="63.75" x14ac:dyDescent="0.2">
      <c r="A21" s="16">
        <v>9</v>
      </c>
      <c r="B21" s="13" t="s">
        <v>56</v>
      </c>
      <c r="C21" s="14">
        <v>47873</v>
      </c>
      <c r="D21" s="49" t="s">
        <v>54</v>
      </c>
      <c r="E21" s="14" t="s">
        <v>19</v>
      </c>
      <c r="F21" s="21" t="s">
        <v>221</v>
      </c>
    </row>
    <row r="22" spans="1:6" s="38" customFormat="1" ht="63.75" x14ac:dyDescent="0.2">
      <c r="A22" s="18">
        <v>10</v>
      </c>
      <c r="B22" s="17" t="s">
        <v>32</v>
      </c>
      <c r="C22" s="50" t="s">
        <v>282</v>
      </c>
      <c r="D22" s="49" t="s">
        <v>26</v>
      </c>
      <c r="E22" s="14" t="s">
        <v>19</v>
      </c>
      <c r="F22" s="26" t="s">
        <v>171</v>
      </c>
    </row>
    <row r="23" spans="1:6" s="38" customFormat="1" ht="89.25" x14ac:dyDescent="0.2">
      <c r="A23" s="16">
        <v>11</v>
      </c>
      <c r="B23" s="17" t="s">
        <v>150</v>
      </c>
      <c r="C23" s="67">
        <v>49823</v>
      </c>
      <c r="D23" s="49" t="s">
        <v>96</v>
      </c>
      <c r="E23" s="50" t="s">
        <v>19</v>
      </c>
      <c r="F23" s="26" t="s">
        <v>217</v>
      </c>
    </row>
    <row r="24" spans="1:6" s="38" customFormat="1" ht="25.5" x14ac:dyDescent="0.2">
      <c r="A24" s="18">
        <v>12</v>
      </c>
      <c r="B24" s="17" t="s">
        <v>111</v>
      </c>
      <c r="C24" s="67">
        <v>37918</v>
      </c>
      <c r="D24" s="49" t="s">
        <v>20</v>
      </c>
      <c r="E24" s="67" t="s">
        <v>19</v>
      </c>
      <c r="F24" s="26" t="s">
        <v>163</v>
      </c>
    </row>
    <row r="25" spans="1:6" s="38" customFormat="1" ht="79.5" customHeight="1" x14ac:dyDescent="0.2">
      <c r="A25" s="16">
        <v>13</v>
      </c>
      <c r="B25" s="17" t="s">
        <v>114</v>
      </c>
      <c r="C25" s="50" t="s">
        <v>284</v>
      </c>
      <c r="D25" s="49" t="s">
        <v>20</v>
      </c>
      <c r="E25" s="67" t="s">
        <v>29</v>
      </c>
      <c r="F25" s="26" t="s">
        <v>30</v>
      </c>
    </row>
    <row r="26" spans="1:6" s="38" customFormat="1" ht="94.5" customHeight="1" x14ac:dyDescent="0.2">
      <c r="A26" s="16">
        <v>14</v>
      </c>
      <c r="B26" s="17" t="s">
        <v>113</v>
      </c>
      <c r="C26" s="50" t="s">
        <v>283</v>
      </c>
      <c r="D26" s="49" t="s">
        <v>20</v>
      </c>
      <c r="E26" s="67" t="s">
        <v>29</v>
      </c>
      <c r="F26" s="26" t="s">
        <v>30</v>
      </c>
    </row>
    <row r="27" spans="1:6" s="38" customFormat="1" ht="51" x14ac:dyDescent="0.2">
      <c r="A27" s="18">
        <v>15</v>
      </c>
      <c r="B27" s="17" t="s">
        <v>35</v>
      </c>
      <c r="C27" s="50" t="s">
        <v>279</v>
      </c>
      <c r="D27" s="49" t="s">
        <v>26</v>
      </c>
      <c r="E27" s="14" t="s">
        <v>14</v>
      </c>
      <c r="F27" s="26" t="s">
        <v>30</v>
      </c>
    </row>
    <row r="28" spans="1:6" s="38" customFormat="1" ht="25.5" x14ac:dyDescent="0.2">
      <c r="A28" s="16">
        <v>16</v>
      </c>
      <c r="B28" s="17" t="s">
        <v>115</v>
      </c>
      <c r="C28" s="14">
        <v>14302</v>
      </c>
      <c r="D28" s="15" t="s">
        <v>20</v>
      </c>
      <c r="E28" s="14" t="s">
        <v>29</v>
      </c>
      <c r="F28" s="26" t="s">
        <v>181</v>
      </c>
    </row>
    <row r="29" spans="1:6" ht="15.75" x14ac:dyDescent="0.25">
      <c r="A29" s="10"/>
      <c r="B29" s="10"/>
      <c r="C29" s="10"/>
      <c r="D29" s="9"/>
      <c r="E29" s="10"/>
      <c r="F29" s="33"/>
    </row>
    <row r="30" spans="1:6" ht="15.75" x14ac:dyDescent="0.25">
      <c r="A30" s="10"/>
      <c r="B30" s="10"/>
      <c r="C30" s="10"/>
      <c r="D30" s="9"/>
      <c r="E30" s="10"/>
      <c r="F30" s="33"/>
    </row>
    <row r="32" spans="1:6" x14ac:dyDescent="0.2">
      <c r="A32" s="148"/>
      <c r="B32" s="149"/>
      <c r="C32" s="149"/>
      <c r="D32" s="149"/>
      <c r="E32" s="149"/>
      <c r="F32" s="149"/>
    </row>
    <row r="33" spans="1:6" ht="15" x14ac:dyDescent="0.25">
      <c r="A33" s="146" t="s">
        <v>17</v>
      </c>
      <c r="B33" s="147"/>
      <c r="C33" s="147"/>
      <c r="D33" s="147"/>
      <c r="E33" s="147"/>
      <c r="F33" s="147"/>
    </row>
  </sheetData>
  <autoFilter ref="A12:F27" xr:uid="{C66AF252-BDE7-4991-82A2-34125561D323}">
    <sortState xmlns:xlrd2="http://schemas.microsoft.com/office/spreadsheetml/2017/richdata2" ref="A13:F28">
      <sortCondition ref="B12:B27"/>
    </sortState>
  </autoFilter>
  <mergeCells count="12">
    <mergeCell ref="A33:F33"/>
    <mergeCell ref="A1:F1"/>
    <mergeCell ref="A2:E2"/>
    <mergeCell ref="A4:F4"/>
    <mergeCell ref="A5:F5"/>
    <mergeCell ref="A7:B7"/>
    <mergeCell ref="A8:B8"/>
    <mergeCell ref="C8:F8"/>
    <mergeCell ref="A9:B9"/>
    <mergeCell ref="A32:F32"/>
    <mergeCell ref="E7:F7"/>
    <mergeCell ref="E9:F9"/>
  </mergeCells>
  <pageMargins left="0.70866141732283472" right="0.70866141732283472" top="0.74803149606299213" bottom="0.74803149606299213" header="0.31496062992125984" footer="0.31496062992125984"/>
  <pageSetup scale="67" fitToHeight="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A8ECB-0D68-44D3-9B1A-3619BE21D4A4}">
  <sheetPr>
    <tabColor rgb="FFFFFF00"/>
    <pageSetUpPr fitToPage="1"/>
  </sheetPr>
  <dimension ref="A1:F35"/>
  <sheetViews>
    <sheetView zoomScale="80" zoomScaleNormal="80" workbookViewId="0">
      <selection activeCell="F14" sqref="F14"/>
    </sheetView>
  </sheetViews>
  <sheetFormatPr baseColWidth="10" defaultColWidth="11.42578125" defaultRowHeight="12.75" x14ac:dyDescent="0.2"/>
  <cols>
    <col min="1" max="1" width="5" style="1" bestFit="1" customWidth="1"/>
    <col min="2" max="2" width="37.42578125" style="3" bestFit="1" customWidth="1"/>
    <col min="3" max="3" width="14.5703125" customWidth="1"/>
    <col min="4" max="4" width="13.7109375" bestFit="1" customWidth="1"/>
    <col min="5" max="5" width="15.42578125" style="1" customWidth="1"/>
    <col min="6" max="6" width="45.140625"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57</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48" thickBot="1" x14ac:dyDescent="0.25">
      <c r="A12" s="85" t="s">
        <v>9</v>
      </c>
      <c r="B12" s="86" t="s">
        <v>10</v>
      </c>
      <c r="C12" s="86" t="s">
        <v>225</v>
      </c>
      <c r="D12" s="86" t="s">
        <v>11</v>
      </c>
      <c r="E12" s="86" t="s">
        <v>226</v>
      </c>
      <c r="F12" s="87" t="s">
        <v>12</v>
      </c>
    </row>
    <row r="13" spans="1:6" s="38" customFormat="1" ht="54" customHeight="1" x14ac:dyDescent="0.2">
      <c r="A13" s="16">
        <v>1</v>
      </c>
      <c r="B13" s="13" t="s">
        <v>206</v>
      </c>
      <c r="C13" s="14">
        <v>39169</v>
      </c>
      <c r="D13" s="15" t="s">
        <v>34</v>
      </c>
      <c r="E13" s="16" t="s">
        <v>19</v>
      </c>
      <c r="F13" s="26" t="s">
        <v>342</v>
      </c>
    </row>
    <row r="14" spans="1:6" s="38" customFormat="1" ht="135.75" customHeight="1" x14ac:dyDescent="0.2">
      <c r="A14" s="16">
        <v>2</v>
      </c>
      <c r="B14" s="17" t="s">
        <v>27</v>
      </c>
      <c r="C14" s="50" t="s">
        <v>288</v>
      </c>
      <c r="D14" s="15" t="s">
        <v>26</v>
      </c>
      <c r="E14" s="16" t="s">
        <v>19</v>
      </c>
      <c r="F14" s="26" t="s">
        <v>167</v>
      </c>
    </row>
    <row r="15" spans="1:6" s="38" customFormat="1" ht="192" customHeight="1" x14ac:dyDescent="0.2">
      <c r="A15" s="16">
        <v>3</v>
      </c>
      <c r="B15" s="13" t="s">
        <v>25</v>
      </c>
      <c r="C15" s="50" t="s">
        <v>289</v>
      </c>
      <c r="D15" s="15" t="s">
        <v>26</v>
      </c>
      <c r="E15" s="16" t="s">
        <v>19</v>
      </c>
      <c r="F15" s="26" t="s">
        <v>168</v>
      </c>
    </row>
    <row r="16" spans="1:6" s="38" customFormat="1" ht="38.25" x14ac:dyDescent="0.2">
      <c r="A16" s="16">
        <v>4</v>
      </c>
      <c r="B16" s="17" t="s">
        <v>196</v>
      </c>
      <c r="C16" s="67">
        <v>49516</v>
      </c>
      <c r="D16" s="49" t="s">
        <v>20</v>
      </c>
      <c r="E16" s="67" t="s">
        <v>29</v>
      </c>
      <c r="F16" s="26" t="s">
        <v>212</v>
      </c>
    </row>
    <row r="17" spans="1:6" s="38" customFormat="1" ht="45" customHeight="1" x14ac:dyDescent="0.2">
      <c r="A17" s="16">
        <v>5</v>
      </c>
      <c r="B17" s="17" t="s">
        <v>149</v>
      </c>
      <c r="C17" s="67">
        <v>49220</v>
      </c>
      <c r="D17" s="49" t="s">
        <v>54</v>
      </c>
      <c r="E17" s="67" t="s">
        <v>19</v>
      </c>
      <c r="F17" s="26" t="s">
        <v>164</v>
      </c>
    </row>
    <row r="18" spans="1:6" s="38" customFormat="1" ht="229.5" x14ac:dyDescent="0.2">
      <c r="A18" s="16">
        <v>6</v>
      </c>
      <c r="B18" s="17" t="s">
        <v>36</v>
      </c>
      <c r="C18" s="14">
        <v>37249</v>
      </c>
      <c r="D18" s="15" t="s">
        <v>26</v>
      </c>
      <c r="E18" s="16" t="s">
        <v>19</v>
      </c>
      <c r="F18" s="26" t="s">
        <v>349</v>
      </c>
    </row>
    <row r="19" spans="1:6" s="38" customFormat="1" ht="79.5" customHeight="1" x14ac:dyDescent="0.2">
      <c r="A19" s="16">
        <v>7</v>
      </c>
      <c r="B19" s="17" t="s">
        <v>28</v>
      </c>
      <c r="C19" s="50" t="s">
        <v>286</v>
      </c>
      <c r="D19" s="15" t="s">
        <v>26</v>
      </c>
      <c r="E19" s="14" t="s">
        <v>14</v>
      </c>
      <c r="F19" s="26" t="s">
        <v>105</v>
      </c>
    </row>
    <row r="20" spans="1:6" s="38" customFormat="1" ht="57" customHeight="1" x14ac:dyDescent="0.2">
      <c r="A20" s="16">
        <v>8</v>
      </c>
      <c r="B20" s="17" t="s">
        <v>107</v>
      </c>
      <c r="C20" s="67">
        <v>49224</v>
      </c>
      <c r="D20" s="49" t="s">
        <v>50</v>
      </c>
      <c r="E20" s="67" t="s">
        <v>19</v>
      </c>
      <c r="F20" s="26" t="s">
        <v>352</v>
      </c>
    </row>
    <row r="21" spans="1:6" s="38" customFormat="1" ht="76.5" x14ac:dyDescent="0.2">
      <c r="A21" s="16">
        <v>9</v>
      </c>
      <c r="B21" s="17" t="s">
        <v>31</v>
      </c>
      <c r="C21" s="50" t="s">
        <v>285</v>
      </c>
      <c r="D21" s="15" t="s">
        <v>26</v>
      </c>
      <c r="E21" s="14" t="s">
        <v>19</v>
      </c>
      <c r="F21" s="26" t="s">
        <v>169</v>
      </c>
    </row>
    <row r="22" spans="1:6" s="38" customFormat="1" ht="128.25" customHeight="1" x14ac:dyDescent="0.2">
      <c r="A22" s="16">
        <v>10</v>
      </c>
      <c r="B22" s="13" t="s">
        <v>56</v>
      </c>
      <c r="C22" s="14">
        <v>47874</v>
      </c>
      <c r="D22" s="15" t="s">
        <v>54</v>
      </c>
      <c r="E22" s="16" t="s">
        <v>19</v>
      </c>
      <c r="F22" s="21" t="s">
        <v>222</v>
      </c>
    </row>
    <row r="23" spans="1:6" s="38" customFormat="1" ht="63.75" x14ac:dyDescent="0.2">
      <c r="A23" s="16">
        <v>11</v>
      </c>
      <c r="B23" s="17" t="s">
        <v>32</v>
      </c>
      <c r="C23" s="50" t="s">
        <v>290</v>
      </c>
      <c r="D23" s="15" t="s">
        <v>26</v>
      </c>
      <c r="E23" s="14" t="s">
        <v>19</v>
      </c>
      <c r="F23" s="26" t="s">
        <v>162</v>
      </c>
    </row>
    <row r="24" spans="1:6" s="38" customFormat="1" ht="89.25" x14ac:dyDescent="0.2">
      <c r="A24" s="16">
        <v>12</v>
      </c>
      <c r="B24" s="17" t="s">
        <v>150</v>
      </c>
      <c r="C24" s="67">
        <v>49824</v>
      </c>
      <c r="D24" s="49" t="s">
        <v>96</v>
      </c>
      <c r="E24" s="50" t="s">
        <v>19</v>
      </c>
      <c r="F24" s="26" t="s">
        <v>217</v>
      </c>
    </row>
    <row r="25" spans="1:6" s="38" customFormat="1" ht="51" x14ac:dyDescent="0.2">
      <c r="A25" s="16">
        <v>13</v>
      </c>
      <c r="B25" s="17" t="s">
        <v>114</v>
      </c>
      <c r="C25" s="50" t="s">
        <v>292</v>
      </c>
      <c r="D25" s="49" t="s">
        <v>20</v>
      </c>
      <c r="E25" s="67" t="s">
        <v>29</v>
      </c>
      <c r="F25" s="26" t="s">
        <v>30</v>
      </c>
    </row>
    <row r="26" spans="1:6" s="38" customFormat="1" ht="76.5" x14ac:dyDescent="0.2">
      <c r="A26" s="16">
        <v>14</v>
      </c>
      <c r="B26" s="17" t="s">
        <v>113</v>
      </c>
      <c r="C26" s="50" t="s">
        <v>291</v>
      </c>
      <c r="D26" s="49" t="s">
        <v>20</v>
      </c>
      <c r="E26" s="67" t="s">
        <v>29</v>
      </c>
      <c r="F26" s="26" t="s">
        <v>30</v>
      </c>
    </row>
    <row r="27" spans="1:6" s="38" customFormat="1" ht="25.5" x14ac:dyDescent="0.2">
      <c r="A27" s="16">
        <v>15</v>
      </c>
      <c r="B27" s="17" t="s">
        <v>111</v>
      </c>
      <c r="C27" s="67">
        <v>37920</v>
      </c>
      <c r="D27" s="49" t="s">
        <v>20</v>
      </c>
      <c r="E27" s="67" t="s">
        <v>19</v>
      </c>
      <c r="F27" s="26" t="s">
        <v>163</v>
      </c>
    </row>
    <row r="28" spans="1:6" s="38" customFormat="1" ht="59.25" customHeight="1" x14ac:dyDescent="0.2">
      <c r="A28" s="16">
        <v>16</v>
      </c>
      <c r="B28" s="17" t="s">
        <v>35</v>
      </c>
      <c r="C28" s="50" t="s">
        <v>287</v>
      </c>
      <c r="D28" s="15" t="s">
        <v>26</v>
      </c>
      <c r="E28" s="14" t="s">
        <v>14</v>
      </c>
      <c r="F28" s="52" t="s">
        <v>58</v>
      </c>
    </row>
    <row r="29" spans="1:6" s="38" customFormat="1" ht="38.25" x14ac:dyDescent="0.2">
      <c r="A29" s="16">
        <v>17</v>
      </c>
      <c r="B29" s="17" t="s">
        <v>115</v>
      </c>
      <c r="C29" s="14">
        <v>31123</v>
      </c>
      <c r="D29" s="15" t="s">
        <v>20</v>
      </c>
      <c r="E29" s="14" t="s">
        <v>29</v>
      </c>
      <c r="F29" s="26" t="s">
        <v>181</v>
      </c>
    </row>
    <row r="30" spans="1:6" x14ac:dyDescent="0.2">
      <c r="C30" s="1"/>
      <c r="D30" s="7"/>
      <c r="F30" s="29"/>
    </row>
    <row r="31" spans="1:6" ht="15.75" x14ac:dyDescent="0.25">
      <c r="A31" s="10"/>
      <c r="B31" s="10"/>
      <c r="C31" s="10"/>
      <c r="D31" s="9"/>
      <c r="E31" s="10"/>
      <c r="F31" s="30"/>
    </row>
    <row r="32" spans="1:6" ht="15.75" x14ac:dyDescent="0.25">
      <c r="A32" s="10"/>
      <c r="B32" s="10"/>
      <c r="C32" s="10"/>
      <c r="D32" s="9"/>
      <c r="E32" s="10"/>
      <c r="F32" s="30"/>
    </row>
    <row r="34" spans="1:6" x14ac:dyDescent="0.2">
      <c r="A34" s="148"/>
      <c r="B34" s="149"/>
      <c r="C34" s="149"/>
      <c r="D34" s="149"/>
      <c r="E34" s="149"/>
      <c r="F34" s="149"/>
    </row>
    <row r="35" spans="1:6" ht="15" x14ac:dyDescent="0.25">
      <c r="A35" s="146" t="s">
        <v>17</v>
      </c>
      <c r="B35" s="147"/>
      <c r="C35" s="147"/>
      <c r="D35" s="147"/>
      <c r="E35" s="147"/>
      <c r="F35" s="147"/>
    </row>
  </sheetData>
  <autoFilter ref="A12:F30" xr:uid="{0EEA8ECB-0D68-44D3-9B1A-3619BE21D4A4}"/>
  <mergeCells count="12">
    <mergeCell ref="A35:F35"/>
    <mergeCell ref="A1:F1"/>
    <mergeCell ref="A2:E2"/>
    <mergeCell ref="A4:F4"/>
    <mergeCell ref="A5:F5"/>
    <mergeCell ref="A7:B7"/>
    <mergeCell ref="A8:B8"/>
    <mergeCell ref="C8:F8"/>
    <mergeCell ref="A9:B9"/>
    <mergeCell ref="A34:F34"/>
    <mergeCell ref="E7:F7"/>
    <mergeCell ref="E9:F9"/>
  </mergeCells>
  <pageMargins left="0.70866141732283472" right="0.70866141732283472" top="0.74803149606299213" bottom="0.74803149606299213" header="0.31496062992125984" footer="0.31496062992125984"/>
  <pageSetup scale="61"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D3650-EBE0-4BD4-972D-33C3269C374F}">
  <sheetPr>
    <tabColor rgb="FFFFFF00"/>
    <pageSetUpPr fitToPage="1"/>
  </sheetPr>
  <dimension ref="A1:F49"/>
  <sheetViews>
    <sheetView topLeftCell="A20" zoomScale="80" zoomScaleNormal="80" workbookViewId="0">
      <selection activeCell="E36" sqref="E36"/>
    </sheetView>
  </sheetViews>
  <sheetFormatPr baseColWidth="10" defaultColWidth="11.42578125" defaultRowHeight="12.75" x14ac:dyDescent="0.2"/>
  <cols>
    <col min="1" max="1" width="5" style="1" bestFit="1" customWidth="1"/>
    <col min="2" max="2" width="37.42578125" style="3" bestFit="1" customWidth="1"/>
    <col min="3" max="3" width="14" customWidth="1"/>
    <col min="4" max="4" width="13.7109375" bestFit="1" customWidth="1"/>
    <col min="5" max="5" width="15.42578125" style="1" customWidth="1"/>
    <col min="6" max="6" width="56.140625"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59</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s="38" customFormat="1" ht="48" thickBot="1" x14ac:dyDescent="0.25">
      <c r="A12" s="85" t="s">
        <v>9</v>
      </c>
      <c r="B12" s="86" t="s">
        <v>10</v>
      </c>
      <c r="C12" s="86" t="s">
        <v>225</v>
      </c>
      <c r="D12" s="86" t="s">
        <v>11</v>
      </c>
      <c r="E12" s="86" t="s">
        <v>226</v>
      </c>
      <c r="F12" s="87" t="s">
        <v>12</v>
      </c>
    </row>
    <row r="13" spans="1:6" s="38" customFormat="1" ht="140.25" customHeight="1" x14ac:dyDescent="0.2">
      <c r="A13" s="16">
        <v>1</v>
      </c>
      <c r="B13" s="13" t="s">
        <v>60</v>
      </c>
      <c r="C13" s="14">
        <v>39591</v>
      </c>
      <c r="D13" s="22" t="s">
        <v>61</v>
      </c>
      <c r="E13" s="16" t="s">
        <v>19</v>
      </c>
      <c r="F13" s="21" t="s">
        <v>346</v>
      </c>
    </row>
    <row r="14" spans="1:6" s="38" customFormat="1" ht="141.75" customHeight="1" x14ac:dyDescent="0.2">
      <c r="A14" s="16">
        <f>A13+1</f>
        <v>2</v>
      </c>
      <c r="B14" s="17" t="s">
        <v>62</v>
      </c>
      <c r="C14" s="14">
        <v>37300</v>
      </c>
      <c r="D14" s="22" t="s">
        <v>63</v>
      </c>
      <c r="E14" s="16" t="s">
        <v>19</v>
      </c>
      <c r="F14" s="21" t="s">
        <v>218</v>
      </c>
    </row>
    <row r="15" spans="1:6" s="38" customFormat="1" ht="30" customHeight="1" x14ac:dyDescent="0.2">
      <c r="A15" s="16">
        <f t="shared" ref="A15:A39" si="0">A14+1</f>
        <v>3</v>
      </c>
      <c r="B15" s="21" t="s">
        <v>303</v>
      </c>
      <c r="C15" s="14">
        <v>37060</v>
      </c>
      <c r="D15" s="22" t="s">
        <v>70</v>
      </c>
      <c r="E15" s="16" t="s">
        <v>14</v>
      </c>
      <c r="F15" s="52" t="s">
        <v>30</v>
      </c>
    </row>
    <row r="16" spans="1:6" s="38" customFormat="1" ht="78" customHeight="1" x14ac:dyDescent="0.2">
      <c r="A16" s="16">
        <f t="shared" si="0"/>
        <v>4</v>
      </c>
      <c r="B16" s="13" t="s">
        <v>27</v>
      </c>
      <c r="C16" s="116">
        <v>35396</v>
      </c>
      <c r="D16" s="22" t="s">
        <v>26</v>
      </c>
      <c r="E16" s="16" t="s">
        <v>19</v>
      </c>
      <c r="F16" s="21" t="s">
        <v>140</v>
      </c>
    </row>
    <row r="17" spans="1:6" s="38" customFormat="1" ht="148.5" customHeight="1" x14ac:dyDescent="0.2">
      <c r="A17" s="16">
        <f t="shared" si="0"/>
        <v>5</v>
      </c>
      <c r="B17" s="17" t="s">
        <v>25</v>
      </c>
      <c r="C17" s="14">
        <v>35395</v>
      </c>
      <c r="D17" s="22" t="s">
        <v>26</v>
      </c>
      <c r="E17" s="16" t="s">
        <v>19</v>
      </c>
      <c r="F17" s="26" t="s">
        <v>168</v>
      </c>
    </row>
    <row r="18" spans="1:6" s="38" customFormat="1" ht="66" customHeight="1" x14ac:dyDescent="0.2">
      <c r="A18" s="16">
        <f t="shared" si="0"/>
        <v>6</v>
      </c>
      <c r="B18" s="17" t="s">
        <v>65</v>
      </c>
      <c r="C18" s="14">
        <v>34185</v>
      </c>
      <c r="D18" s="22" t="s">
        <v>26</v>
      </c>
      <c r="E18" s="16" t="s">
        <v>14</v>
      </c>
      <c r="F18" s="21" t="s">
        <v>312</v>
      </c>
    </row>
    <row r="19" spans="1:6" s="38" customFormat="1" ht="39" customHeight="1" x14ac:dyDescent="0.2">
      <c r="A19" s="16">
        <f t="shared" si="0"/>
        <v>7</v>
      </c>
      <c r="B19" s="21" t="s">
        <v>293</v>
      </c>
      <c r="C19" s="14">
        <v>34292</v>
      </c>
      <c r="D19" s="22" t="s">
        <v>66</v>
      </c>
      <c r="E19" s="16" t="s">
        <v>19</v>
      </c>
      <c r="F19" s="21" t="s">
        <v>294</v>
      </c>
    </row>
    <row r="20" spans="1:6" s="38" customFormat="1" ht="39" customHeight="1" x14ac:dyDescent="0.2">
      <c r="A20" s="16">
        <f t="shared" si="0"/>
        <v>8</v>
      </c>
      <c r="B20" s="17" t="s">
        <v>121</v>
      </c>
      <c r="C20" s="14">
        <v>39269</v>
      </c>
      <c r="D20" s="22" t="s">
        <v>20</v>
      </c>
      <c r="E20" s="16" t="s">
        <v>19</v>
      </c>
      <c r="F20" s="52" t="s">
        <v>301</v>
      </c>
    </row>
    <row r="21" spans="1:6" s="38" customFormat="1" ht="126" customHeight="1" x14ac:dyDescent="0.2">
      <c r="A21" s="16">
        <f t="shared" si="0"/>
        <v>9</v>
      </c>
      <c r="B21" s="17" t="s">
        <v>208</v>
      </c>
      <c r="C21" s="14">
        <v>49134</v>
      </c>
      <c r="D21" s="22" t="s">
        <v>210</v>
      </c>
      <c r="E21" s="16" t="s">
        <v>209</v>
      </c>
      <c r="F21" s="26" t="s">
        <v>351</v>
      </c>
    </row>
    <row r="22" spans="1:6" s="38" customFormat="1" ht="92.25" customHeight="1" x14ac:dyDescent="0.2">
      <c r="A22" s="16">
        <f t="shared" si="0"/>
        <v>10</v>
      </c>
      <c r="B22" s="17" t="s">
        <v>152</v>
      </c>
      <c r="C22" s="14">
        <v>32516</v>
      </c>
      <c r="D22" s="22" t="s">
        <v>20</v>
      </c>
      <c r="E22" s="16" t="s">
        <v>19</v>
      </c>
      <c r="F22" s="21" t="s">
        <v>211</v>
      </c>
    </row>
    <row r="23" spans="1:6" s="38" customFormat="1" ht="39" customHeight="1" x14ac:dyDescent="0.2">
      <c r="A23" s="16">
        <f t="shared" si="0"/>
        <v>11</v>
      </c>
      <c r="B23" s="17" t="s">
        <v>64</v>
      </c>
      <c r="C23" s="14">
        <v>34250</v>
      </c>
      <c r="D23" s="22" t="s">
        <v>26</v>
      </c>
      <c r="E23" s="16" t="s">
        <v>19</v>
      </c>
      <c r="F23" s="26" t="s">
        <v>120</v>
      </c>
    </row>
    <row r="24" spans="1:6" s="38" customFormat="1" ht="91.5" customHeight="1" x14ac:dyDescent="0.2">
      <c r="A24" s="16">
        <f t="shared" si="0"/>
        <v>12</v>
      </c>
      <c r="B24" s="17" t="s">
        <v>207</v>
      </c>
      <c r="C24" s="67">
        <v>49190</v>
      </c>
      <c r="D24" s="49" t="s">
        <v>50</v>
      </c>
      <c r="E24" s="67" t="s">
        <v>19</v>
      </c>
      <c r="F24" s="26" t="s">
        <v>352</v>
      </c>
    </row>
    <row r="25" spans="1:6" s="38" customFormat="1" ht="88.5" customHeight="1" x14ac:dyDescent="0.2">
      <c r="A25" s="16">
        <f t="shared" ref="A25" si="1">A24+1</f>
        <v>13</v>
      </c>
      <c r="B25" s="17" t="s">
        <v>207</v>
      </c>
      <c r="C25" s="67">
        <v>49192</v>
      </c>
      <c r="D25" s="49" t="s">
        <v>50</v>
      </c>
      <c r="E25" s="67" t="s">
        <v>19</v>
      </c>
      <c r="F25" s="26" t="s">
        <v>352</v>
      </c>
    </row>
    <row r="26" spans="1:6" s="38" customFormat="1" ht="50.25" customHeight="1" x14ac:dyDescent="0.2">
      <c r="A26" s="16">
        <f>A24+1</f>
        <v>13</v>
      </c>
      <c r="B26" s="13" t="s">
        <v>151</v>
      </c>
      <c r="C26" s="50" t="s">
        <v>305</v>
      </c>
      <c r="D26" s="22" t="s">
        <v>20</v>
      </c>
      <c r="E26" s="16" t="s">
        <v>19</v>
      </c>
      <c r="F26" s="21" t="s">
        <v>306</v>
      </c>
    </row>
    <row r="27" spans="1:6" s="38" customFormat="1" ht="81.75" customHeight="1" x14ac:dyDescent="0.2">
      <c r="A27" s="16">
        <f t="shared" si="0"/>
        <v>14</v>
      </c>
      <c r="B27" s="52" t="s">
        <v>117</v>
      </c>
      <c r="C27" s="16">
        <v>14799</v>
      </c>
      <c r="D27" s="22"/>
      <c r="E27" s="16" t="s">
        <v>19</v>
      </c>
      <c r="F27" s="26" t="s">
        <v>297</v>
      </c>
    </row>
    <row r="28" spans="1:6" s="38" customFormat="1" ht="25.5" x14ac:dyDescent="0.2">
      <c r="A28" s="16">
        <f t="shared" si="0"/>
        <v>15</v>
      </c>
      <c r="B28" s="13" t="s">
        <v>71</v>
      </c>
      <c r="C28" s="50" t="s">
        <v>296</v>
      </c>
      <c r="D28" s="22" t="s">
        <v>20</v>
      </c>
      <c r="E28" s="16" t="s">
        <v>14</v>
      </c>
      <c r="F28" s="52" t="s">
        <v>30</v>
      </c>
    </row>
    <row r="29" spans="1:6" s="38" customFormat="1" ht="63.75" x14ac:dyDescent="0.2">
      <c r="A29" s="16">
        <f t="shared" si="0"/>
        <v>16</v>
      </c>
      <c r="B29" s="17" t="s">
        <v>150</v>
      </c>
      <c r="C29" s="67">
        <v>49136</v>
      </c>
      <c r="D29" s="49" t="s">
        <v>183</v>
      </c>
      <c r="E29" s="67" t="s">
        <v>19</v>
      </c>
      <c r="F29" s="26" t="s">
        <v>217</v>
      </c>
    </row>
    <row r="30" spans="1:6" s="38" customFormat="1" x14ac:dyDescent="0.2">
      <c r="A30" s="16">
        <f t="shared" si="0"/>
        <v>17</v>
      </c>
      <c r="B30" s="21" t="s">
        <v>295</v>
      </c>
      <c r="C30" s="14">
        <v>34371</v>
      </c>
      <c r="D30" s="22" t="s">
        <v>66</v>
      </c>
      <c r="E30" s="16" t="s">
        <v>14</v>
      </c>
      <c r="F30" s="52" t="s">
        <v>30</v>
      </c>
    </row>
    <row r="31" spans="1:6" s="38" customFormat="1" ht="51" x14ac:dyDescent="0.2">
      <c r="A31" s="16">
        <f t="shared" si="0"/>
        <v>18</v>
      </c>
      <c r="B31" s="21" t="s">
        <v>118</v>
      </c>
      <c r="C31" s="16">
        <v>34734</v>
      </c>
      <c r="D31" s="22" t="s">
        <v>20</v>
      </c>
      <c r="E31" s="16" t="s">
        <v>19</v>
      </c>
      <c r="F31" s="26" t="s">
        <v>298</v>
      </c>
    </row>
    <row r="32" spans="1:6" s="38" customFormat="1" ht="25.5" x14ac:dyDescent="0.2">
      <c r="A32" s="16">
        <f t="shared" si="0"/>
        <v>19</v>
      </c>
      <c r="B32" s="13" t="s">
        <v>111</v>
      </c>
      <c r="C32" s="14">
        <v>36608</v>
      </c>
      <c r="D32" s="22" t="s">
        <v>20</v>
      </c>
      <c r="E32" s="16" t="s">
        <v>19</v>
      </c>
      <c r="F32" s="26" t="s">
        <v>163</v>
      </c>
    </row>
    <row r="33" spans="1:6" s="38" customFormat="1" ht="97.5" customHeight="1" x14ac:dyDescent="0.2">
      <c r="A33" s="16">
        <f t="shared" si="0"/>
        <v>20</v>
      </c>
      <c r="B33" s="13" t="s">
        <v>119</v>
      </c>
      <c r="C33" s="50" t="s">
        <v>299</v>
      </c>
      <c r="D33" s="22" t="s">
        <v>20</v>
      </c>
      <c r="E33" s="16" t="s">
        <v>19</v>
      </c>
      <c r="F33" s="21" t="s">
        <v>300</v>
      </c>
    </row>
    <row r="34" spans="1:6" s="38" customFormat="1" x14ac:dyDescent="0.2">
      <c r="A34" s="16">
        <f t="shared" si="0"/>
        <v>21</v>
      </c>
      <c r="B34" s="21" t="s">
        <v>109</v>
      </c>
      <c r="C34" s="14">
        <v>34483</v>
      </c>
      <c r="D34" s="22" t="s">
        <v>66</v>
      </c>
      <c r="E34" s="16" t="s">
        <v>14</v>
      </c>
      <c r="F34" s="52" t="s">
        <v>30</v>
      </c>
    </row>
    <row r="35" spans="1:6" s="38" customFormat="1" x14ac:dyDescent="0.2">
      <c r="A35" s="16">
        <f t="shared" si="0"/>
        <v>22</v>
      </c>
      <c r="B35" s="17" t="s">
        <v>67</v>
      </c>
      <c r="C35" s="14">
        <v>34165</v>
      </c>
      <c r="D35" s="22" t="s">
        <v>68</v>
      </c>
      <c r="E35" s="16" t="s">
        <v>19</v>
      </c>
      <c r="F35" s="52" t="s">
        <v>302</v>
      </c>
    </row>
    <row r="36" spans="1:6" s="38" customFormat="1" x14ac:dyDescent="0.2">
      <c r="A36" s="16">
        <f t="shared" si="0"/>
        <v>23</v>
      </c>
      <c r="B36" s="21" t="s">
        <v>237</v>
      </c>
      <c r="C36" s="11">
        <v>51435</v>
      </c>
      <c r="D36" s="19" t="s">
        <v>236</v>
      </c>
      <c r="E36" s="4" t="s">
        <v>238</v>
      </c>
      <c r="F36" s="20" t="s">
        <v>30</v>
      </c>
    </row>
    <row r="37" spans="1:6" s="38" customFormat="1" x14ac:dyDescent="0.2">
      <c r="A37" s="16">
        <f t="shared" si="0"/>
        <v>24</v>
      </c>
      <c r="B37" s="21" t="s">
        <v>239</v>
      </c>
      <c r="C37" s="11">
        <v>51438</v>
      </c>
      <c r="D37" s="19" t="s">
        <v>20</v>
      </c>
      <c r="E37" s="4" t="s">
        <v>238</v>
      </c>
      <c r="F37" s="20" t="s">
        <v>30</v>
      </c>
    </row>
    <row r="38" spans="1:6" s="38" customFormat="1" x14ac:dyDescent="0.2">
      <c r="A38" s="16">
        <f t="shared" si="0"/>
        <v>25</v>
      </c>
      <c r="B38" s="21" t="s">
        <v>240</v>
      </c>
      <c r="C38" s="11">
        <v>51439</v>
      </c>
      <c r="D38" s="19" t="s">
        <v>243</v>
      </c>
      <c r="E38" s="4" t="s">
        <v>238</v>
      </c>
      <c r="F38" s="20" t="s">
        <v>30</v>
      </c>
    </row>
    <row r="39" spans="1:6" s="38" customFormat="1" x14ac:dyDescent="0.2">
      <c r="A39" s="16">
        <f t="shared" si="0"/>
        <v>26</v>
      </c>
      <c r="B39" s="21" t="s">
        <v>241</v>
      </c>
      <c r="C39" s="11">
        <v>51434</v>
      </c>
      <c r="D39" s="19" t="s">
        <v>242</v>
      </c>
      <c r="E39" s="4" t="s">
        <v>238</v>
      </c>
      <c r="F39" s="20" t="s">
        <v>30</v>
      </c>
    </row>
    <row r="40" spans="1:6" s="38" customFormat="1" x14ac:dyDescent="0.2">
      <c r="A40" s="39"/>
      <c r="C40" s="41"/>
      <c r="D40" s="42"/>
      <c r="E40" s="39"/>
      <c r="F40" s="59"/>
    </row>
    <row r="41" spans="1:6" s="38" customFormat="1" x14ac:dyDescent="0.2">
      <c r="A41" s="39"/>
      <c r="C41" s="41"/>
      <c r="D41" s="42"/>
      <c r="E41" s="39"/>
      <c r="F41" s="59"/>
    </row>
    <row r="43" spans="1:6" x14ac:dyDescent="0.2">
      <c r="C43" s="1"/>
      <c r="D43" s="7"/>
      <c r="F43" s="29"/>
    </row>
    <row r="44" spans="1:6" x14ac:dyDescent="0.2">
      <c r="C44" s="1"/>
      <c r="D44" s="7"/>
      <c r="F44" s="29"/>
    </row>
    <row r="45" spans="1:6" ht="15.75" x14ac:dyDescent="0.25">
      <c r="A45" s="10"/>
      <c r="B45" s="10"/>
      <c r="C45" s="10"/>
      <c r="D45" s="9"/>
      <c r="E45" s="10"/>
      <c r="F45" s="30"/>
    </row>
    <row r="46" spans="1:6" ht="15.75" x14ac:dyDescent="0.25">
      <c r="A46" s="10"/>
      <c r="B46" s="10"/>
      <c r="C46" s="10"/>
      <c r="D46" s="9"/>
      <c r="E46" s="10"/>
      <c r="F46" s="30"/>
    </row>
    <row r="48" spans="1:6" x14ac:dyDescent="0.2">
      <c r="A48" s="148"/>
      <c r="B48" s="149"/>
      <c r="C48" s="149"/>
      <c r="D48" s="149"/>
      <c r="E48" s="149"/>
      <c r="F48" s="149"/>
    </row>
    <row r="49" spans="1:6" ht="15" x14ac:dyDescent="0.25">
      <c r="A49" s="146" t="s">
        <v>17</v>
      </c>
      <c r="B49" s="147"/>
      <c r="C49" s="147"/>
      <c r="D49" s="147"/>
      <c r="E49" s="147"/>
      <c r="F49" s="147"/>
    </row>
  </sheetData>
  <autoFilter ref="A12:F35" xr:uid="{3D5D3650-EBE0-4BD4-972D-33C3269C374F}">
    <sortState xmlns:xlrd2="http://schemas.microsoft.com/office/spreadsheetml/2017/richdata2" ref="A13:F35">
      <sortCondition ref="B12:B35"/>
    </sortState>
  </autoFilter>
  <mergeCells count="12">
    <mergeCell ref="A49:F49"/>
    <mergeCell ref="A1:F1"/>
    <mergeCell ref="A2:E2"/>
    <mergeCell ref="A4:F4"/>
    <mergeCell ref="A5:F5"/>
    <mergeCell ref="A7:B7"/>
    <mergeCell ref="A8:B8"/>
    <mergeCell ref="C8:F8"/>
    <mergeCell ref="A9:B9"/>
    <mergeCell ref="A48:F48"/>
    <mergeCell ref="E7:F7"/>
    <mergeCell ref="E9:F9"/>
  </mergeCells>
  <pageMargins left="0.70866141732283472" right="0.70866141732283472" top="0.74803149606299213" bottom="0.74803149606299213" header="0.31496062992125984" footer="0.31496062992125984"/>
  <pageSetup scale="55" fitToHeight="2"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69F7-21B9-4F49-846D-72F3093DE1C3}">
  <sheetPr>
    <tabColor rgb="FFFFFF00"/>
    <pageSetUpPr fitToPage="1"/>
  </sheetPr>
  <dimension ref="A1:F30"/>
  <sheetViews>
    <sheetView topLeftCell="A25" zoomScaleNormal="100" workbookViewId="0">
      <selection activeCell="E27" sqref="E27"/>
    </sheetView>
  </sheetViews>
  <sheetFormatPr baseColWidth="10" defaultColWidth="11.42578125" defaultRowHeight="12.75" x14ac:dyDescent="0.2"/>
  <cols>
    <col min="1" max="1" width="5" style="1" bestFit="1" customWidth="1"/>
    <col min="2" max="2" width="37.42578125" style="3" bestFit="1" customWidth="1"/>
    <col min="3" max="3" width="28.85546875" customWidth="1"/>
    <col min="4" max="4" width="13.7109375" style="5" bestFit="1" customWidth="1"/>
    <col min="5" max="5" width="15.42578125" style="1" customWidth="1"/>
    <col min="6" max="6" width="35.7109375" customWidth="1"/>
  </cols>
  <sheetData>
    <row r="1" spans="1:6" ht="30" customHeight="1" x14ac:dyDescent="0.2">
      <c r="A1" s="134" t="s">
        <v>0</v>
      </c>
      <c r="B1" s="134"/>
      <c r="C1" s="134"/>
      <c r="D1" s="134"/>
      <c r="E1" s="134"/>
      <c r="F1" s="134"/>
    </row>
    <row r="2" spans="1:6" ht="23.25" customHeight="1" x14ac:dyDescent="0.2">
      <c r="A2" s="134" t="s">
        <v>0</v>
      </c>
      <c r="B2" s="134"/>
      <c r="C2" s="134"/>
      <c r="D2" s="134"/>
      <c r="E2" s="134"/>
      <c r="F2" s="134"/>
    </row>
    <row r="3" spans="1:6" ht="15" x14ac:dyDescent="0.2">
      <c r="A3" s="133" t="s">
        <v>1</v>
      </c>
      <c r="B3" s="133"/>
      <c r="C3" s="133"/>
      <c r="D3" s="133"/>
      <c r="E3" s="133"/>
      <c r="F3" s="129" t="s">
        <v>227</v>
      </c>
    </row>
    <row r="4" spans="1:6" ht="18.75" customHeight="1" x14ac:dyDescent="0.2">
      <c r="A4" s="12" t="s">
        <v>2</v>
      </c>
      <c r="B4" s="44"/>
      <c r="C4" s="44"/>
      <c r="D4" s="65"/>
      <c r="E4" s="61"/>
      <c r="F4" s="130" t="s">
        <v>3</v>
      </c>
    </row>
    <row r="5" spans="1:6" ht="13.5" customHeight="1" x14ac:dyDescent="0.3">
      <c r="A5" s="141" t="s">
        <v>4</v>
      </c>
      <c r="B5" s="142"/>
      <c r="C5" s="142"/>
      <c r="D5" s="142"/>
      <c r="E5" s="142"/>
      <c r="F5" s="142"/>
    </row>
    <row r="6" spans="1:6" ht="13.5" x14ac:dyDescent="0.25">
      <c r="A6" s="143" t="s">
        <v>230</v>
      </c>
      <c r="B6" s="144"/>
      <c r="C6" s="144"/>
      <c r="D6" s="144"/>
      <c r="E6" s="144"/>
      <c r="F6" s="144"/>
    </row>
    <row r="7" spans="1:6" ht="15" x14ac:dyDescent="0.2">
      <c r="A7" s="62"/>
      <c r="B7" s="40"/>
      <c r="C7" s="40"/>
      <c r="D7" s="122"/>
      <c r="E7" s="40"/>
      <c r="F7" s="40"/>
    </row>
    <row r="8" spans="1:6" ht="15.75" x14ac:dyDescent="0.25">
      <c r="A8" s="145" t="s">
        <v>5</v>
      </c>
      <c r="B8" s="145"/>
      <c r="C8" s="23" t="s">
        <v>72</v>
      </c>
      <c r="D8" s="123"/>
      <c r="E8" s="135"/>
      <c r="F8" s="135"/>
    </row>
    <row r="9" spans="1:6" ht="15.75" x14ac:dyDescent="0.25">
      <c r="A9" s="145" t="s">
        <v>7</v>
      </c>
      <c r="B9" s="145"/>
      <c r="C9" s="138" t="s">
        <v>229</v>
      </c>
      <c r="D9" s="138"/>
      <c r="E9" s="138"/>
      <c r="F9" s="138"/>
    </row>
    <row r="10" spans="1:6" ht="15.75" x14ac:dyDescent="0.25">
      <c r="A10" s="145" t="s">
        <v>8</v>
      </c>
      <c r="B10" s="145"/>
      <c r="C10" s="89">
        <v>45793</v>
      </c>
      <c r="D10" s="123"/>
      <c r="E10" s="135"/>
      <c r="F10" s="135"/>
    </row>
    <row r="11" spans="1:6" ht="15.75" x14ac:dyDescent="0.25">
      <c r="A11" s="63"/>
      <c r="B11" s="64"/>
      <c r="C11" s="64"/>
      <c r="D11" s="124"/>
      <c r="E11" s="46"/>
      <c r="F11" s="131"/>
    </row>
    <row r="12" spans="1:6" ht="13.5" thickBot="1" x14ac:dyDescent="0.25">
      <c r="A12" s="31"/>
      <c r="B12" s="44"/>
      <c r="C12" s="44"/>
      <c r="D12" s="125"/>
      <c r="E12" s="61"/>
      <c r="F12" s="43"/>
    </row>
    <row r="13" spans="1:6" ht="32.25" thickBot="1" x14ac:dyDescent="0.25">
      <c r="A13" s="85" t="s">
        <v>9</v>
      </c>
      <c r="B13" s="86" t="s">
        <v>10</v>
      </c>
      <c r="C13" s="86" t="s">
        <v>225</v>
      </c>
      <c r="D13" s="86" t="s">
        <v>11</v>
      </c>
      <c r="E13" s="86" t="s">
        <v>226</v>
      </c>
      <c r="F13" s="132" t="s">
        <v>12</v>
      </c>
    </row>
    <row r="14" spans="1:6" x14ac:dyDescent="0.2">
      <c r="A14" s="16">
        <v>1</v>
      </c>
      <c r="B14" s="52" t="s">
        <v>80</v>
      </c>
      <c r="C14" s="14">
        <v>38259</v>
      </c>
      <c r="D14" s="79" t="s">
        <v>81</v>
      </c>
      <c r="E14" s="16" t="s">
        <v>14</v>
      </c>
      <c r="F14" s="21" t="s">
        <v>30</v>
      </c>
    </row>
    <row r="15" spans="1:6" s="38" customFormat="1" ht="51" x14ac:dyDescent="0.2">
      <c r="A15" s="16">
        <f>A14+1</f>
        <v>2</v>
      </c>
      <c r="B15" s="52" t="s">
        <v>144</v>
      </c>
      <c r="C15" s="50" t="s">
        <v>309</v>
      </c>
      <c r="D15" s="79" t="s">
        <v>20</v>
      </c>
      <c r="E15" s="16" t="s">
        <v>19</v>
      </c>
      <c r="F15" s="21" t="s">
        <v>120</v>
      </c>
    </row>
    <row r="16" spans="1:6" s="38" customFormat="1" ht="63.75" x14ac:dyDescent="0.2">
      <c r="A16" s="16">
        <f t="shared" ref="A16:A27" si="0">A15+1</f>
        <v>3</v>
      </c>
      <c r="B16" s="52" t="s">
        <v>145</v>
      </c>
      <c r="C16" s="14">
        <v>48885</v>
      </c>
      <c r="D16" s="79" t="s">
        <v>146</v>
      </c>
      <c r="E16" s="16" t="s">
        <v>19</v>
      </c>
      <c r="F16" s="21" t="s">
        <v>165</v>
      </c>
    </row>
    <row r="17" spans="1:6" s="38" customFormat="1" x14ac:dyDescent="0.2">
      <c r="A17" s="16">
        <f t="shared" si="0"/>
        <v>4</v>
      </c>
      <c r="B17" s="52" t="s">
        <v>76</v>
      </c>
      <c r="C17" s="14">
        <v>37904</v>
      </c>
      <c r="D17" s="79" t="s">
        <v>20</v>
      </c>
      <c r="E17" s="16" t="s">
        <v>14</v>
      </c>
      <c r="F17" s="52" t="s">
        <v>30</v>
      </c>
    </row>
    <row r="18" spans="1:6" s="38" customFormat="1" x14ac:dyDescent="0.2">
      <c r="A18" s="16">
        <f t="shared" si="0"/>
        <v>5</v>
      </c>
      <c r="B18" s="52" t="s">
        <v>142</v>
      </c>
      <c r="C18" s="14">
        <v>20208</v>
      </c>
      <c r="D18" s="79" t="s">
        <v>20</v>
      </c>
      <c r="E18" s="16" t="s">
        <v>14</v>
      </c>
      <c r="F18" s="52" t="s">
        <v>30</v>
      </c>
    </row>
    <row r="19" spans="1:6" s="38" customFormat="1" ht="51" x14ac:dyDescent="0.2">
      <c r="A19" s="16">
        <f t="shared" si="0"/>
        <v>6</v>
      </c>
      <c r="B19" s="52" t="s">
        <v>141</v>
      </c>
      <c r="C19" s="14">
        <v>18081</v>
      </c>
      <c r="D19" s="79" t="s">
        <v>20</v>
      </c>
      <c r="E19" s="16" t="s">
        <v>19</v>
      </c>
      <c r="F19" s="21" t="s">
        <v>182</v>
      </c>
    </row>
    <row r="20" spans="1:6" s="38" customFormat="1" ht="63.75" x14ac:dyDescent="0.2">
      <c r="A20" s="16">
        <f t="shared" si="0"/>
        <v>7</v>
      </c>
      <c r="B20" s="56" t="s">
        <v>126</v>
      </c>
      <c r="C20" s="16">
        <v>48886</v>
      </c>
      <c r="D20" s="79" t="s">
        <v>146</v>
      </c>
      <c r="E20" s="16" t="s">
        <v>19</v>
      </c>
      <c r="F20" s="21" t="s">
        <v>310</v>
      </c>
    </row>
    <row r="21" spans="1:6" s="38" customFormat="1" ht="114.75" x14ac:dyDescent="0.2">
      <c r="A21" s="16">
        <f t="shared" si="0"/>
        <v>8</v>
      </c>
      <c r="B21" s="17" t="s">
        <v>107</v>
      </c>
      <c r="C21" s="67">
        <v>49223</v>
      </c>
      <c r="D21" s="126" t="s">
        <v>50</v>
      </c>
      <c r="E21" s="67" t="s">
        <v>19</v>
      </c>
      <c r="F21" s="21" t="s">
        <v>352</v>
      </c>
    </row>
    <row r="22" spans="1:6" s="38" customFormat="1" ht="76.5" x14ac:dyDescent="0.2">
      <c r="A22" s="16">
        <f t="shared" si="0"/>
        <v>9</v>
      </c>
      <c r="B22" s="52" t="s">
        <v>123</v>
      </c>
      <c r="C22" s="50" t="s">
        <v>307</v>
      </c>
      <c r="D22" s="79" t="s">
        <v>20</v>
      </c>
      <c r="E22" s="16" t="s">
        <v>14</v>
      </c>
      <c r="F22" s="52" t="s">
        <v>30</v>
      </c>
    </row>
    <row r="23" spans="1:6" s="38" customFormat="1" ht="38.25" x14ac:dyDescent="0.2">
      <c r="A23" s="16">
        <f t="shared" si="0"/>
        <v>10</v>
      </c>
      <c r="B23" s="56" t="s">
        <v>147</v>
      </c>
      <c r="C23" s="16">
        <v>49055</v>
      </c>
      <c r="D23" s="79" t="s">
        <v>148</v>
      </c>
      <c r="E23" s="16" t="s">
        <v>19</v>
      </c>
      <c r="F23" s="21" t="s">
        <v>166</v>
      </c>
    </row>
    <row r="24" spans="1:6" s="38" customFormat="1" ht="38.25" x14ac:dyDescent="0.2">
      <c r="A24" s="16">
        <f t="shared" si="0"/>
        <v>11</v>
      </c>
      <c r="B24" s="13" t="s">
        <v>111</v>
      </c>
      <c r="C24" s="14">
        <v>36609</v>
      </c>
      <c r="D24" s="79" t="s">
        <v>20</v>
      </c>
      <c r="E24" s="16" t="s">
        <v>19</v>
      </c>
      <c r="F24" s="21" t="s">
        <v>163</v>
      </c>
    </row>
    <row r="25" spans="1:6" s="38" customFormat="1" ht="102" x14ac:dyDescent="0.2">
      <c r="A25" s="16">
        <f t="shared" si="0"/>
        <v>12</v>
      </c>
      <c r="B25" s="52" t="s">
        <v>122</v>
      </c>
      <c r="C25" s="50" t="s">
        <v>308</v>
      </c>
      <c r="D25" s="79" t="s">
        <v>20</v>
      </c>
      <c r="E25" s="16" t="s">
        <v>14</v>
      </c>
      <c r="F25" s="52" t="s">
        <v>30</v>
      </c>
    </row>
    <row r="26" spans="1:6" s="38" customFormat="1" x14ac:dyDescent="0.2">
      <c r="A26" s="16">
        <f t="shared" si="0"/>
        <v>13</v>
      </c>
      <c r="B26" s="52" t="s">
        <v>73</v>
      </c>
      <c r="C26" s="14">
        <v>39273</v>
      </c>
      <c r="D26" s="79" t="s">
        <v>74</v>
      </c>
      <c r="E26" s="16" t="s">
        <v>14</v>
      </c>
      <c r="F26" s="52" t="s">
        <v>30</v>
      </c>
    </row>
    <row r="27" spans="1:6" s="38" customFormat="1" x14ac:dyDescent="0.2">
      <c r="A27" s="16">
        <f t="shared" si="0"/>
        <v>14</v>
      </c>
      <c r="B27" s="52" t="s">
        <v>143</v>
      </c>
      <c r="C27" s="14">
        <v>39021</v>
      </c>
      <c r="D27" s="79" t="s">
        <v>20</v>
      </c>
      <c r="E27" s="16" t="s">
        <v>14</v>
      </c>
      <c r="F27" s="52" t="s">
        <v>30</v>
      </c>
    </row>
    <row r="28" spans="1:6" ht="40.5" customHeight="1" x14ac:dyDescent="0.2"/>
    <row r="29" spans="1:6" x14ac:dyDescent="0.2">
      <c r="A29" s="148"/>
      <c r="B29" s="149"/>
      <c r="C29" s="149"/>
      <c r="D29" s="149"/>
      <c r="E29" s="149"/>
      <c r="F29" s="149"/>
    </row>
    <row r="30" spans="1:6" ht="15" x14ac:dyDescent="0.25">
      <c r="A30" s="146" t="s">
        <v>17</v>
      </c>
      <c r="B30" s="147"/>
      <c r="C30" s="147"/>
      <c r="D30" s="147"/>
      <c r="E30" s="147"/>
      <c r="F30" s="147"/>
    </row>
  </sheetData>
  <autoFilter ref="A12:F27" xr:uid="{9A8169F7-21B9-4F49-846D-72F3093DE1C3}">
    <sortState xmlns:xlrd2="http://schemas.microsoft.com/office/spreadsheetml/2017/richdata2" ref="A13:F27">
      <sortCondition ref="B12:B27"/>
    </sortState>
  </autoFilter>
  <mergeCells count="13">
    <mergeCell ref="A10:B10"/>
    <mergeCell ref="E10:F10"/>
    <mergeCell ref="A30:F30"/>
    <mergeCell ref="A1:F1"/>
    <mergeCell ref="A5:F5"/>
    <mergeCell ref="A8:B8"/>
    <mergeCell ref="A9:B9"/>
    <mergeCell ref="C9:F9"/>
    <mergeCell ref="A29:F29"/>
    <mergeCell ref="A2:F2"/>
    <mergeCell ref="A3:E3"/>
    <mergeCell ref="A6:F6"/>
    <mergeCell ref="E8:F8"/>
  </mergeCells>
  <pageMargins left="0.7" right="0.7" top="0.75" bottom="0.75" header="0.3" footer="0.3"/>
  <pageSetup scale="67"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65B6-9548-417F-A3E8-A611B425FBE6}">
  <sheetPr>
    <pageSetUpPr fitToPage="1"/>
  </sheetPr>
  <dimension ref="A1:F21"/>
  <sheetViews>
    <sheetView topLeftCell="A4" zoomScaleNormal="100" workbookViewId="0">
      <selection activeCell="B19" sqref="B19"/>
    </sheetView>
  </sheetViews>
  <sheetFormatPr baseColWidth="10" defaultColWidth="11.42578125" defaultRowHeight="12.75" x14ac:dyDescent="0.2"/>
  <cols>
    <col min="1" max="1" width="6.5703125" style="1" customWidth="1"/>
    <col min="2" max="2" width="37.42578125" style="3" bestFit="1" customWidth="1"/>
    <col min="3" max="3" width="13.5703125" customWidth="1"/>
    <col min="4" max="4" width="13.7109375" style="5" bestFit="1" customWidth="1"/>
    <col min="5" max="5" width="15.42578125" style="1" customWidth="1"/>
    <col min="6" max="6" width="21"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75</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x14ac:dyDescent="0.2">
      <c r="A13" s="4">
        <v>1</v>
      </c>
      <c r="B13" s="20" t="s">
        <v>76</v>
      </c>
      <c r="C13" s="11">
        <v>33651</v>
      </c>
      <c r="D13" s="74" t="s">
        <v>20</v>
      </c>
      <c r="E13" s="4" t="s">
        <v>14</v>
      </c>
      <c r="F13" s="4" t="s">
        <v>30</v>
      </c>
    </row>
    <row r="14" spans="1:6" ht="76.5" x14ac:dyDescent="0.2">
      <c r="A14" s="4">
        <v>2</v>
      </c>
      <c r="B14" s="54" t="s">
        <v>127</v>
      </c>
      <c r="C14" s="4">
        <v>37908</v>
      </c>
      <c r="D14" s="74" t="s">
        <v>20</v>
      </c>
      <c r="E14" s="4" t="s">
        <v>19</v>
      </c>
      <c r="F14" s="50" t="s">
        <v>163</v>
      </c>
    </row>
    <row r="15" spans="1:6" x14ac:dyDescent="0.2">
      <c r="A15" s="4">
        <v>3</v>
      </c>
      <c r="B15" s="21" t="s">
        <v>77</v>
      </c>
      <c r="C15" s="11">
        <v>44866</v>
      </c>
      <c r="D15" s="74" t="s">
        <v>78</v>
      </c>
      <c r="E15" s="4" t="s">
        <v>14</v>
      </c>
      <c r="F15" s="35" t="s">
        <v>30</v>
      </c>
    </row>
    <row r="16" spans="1:6" x14ac:dyDescent="0.2">
      <c r="A16" s="4">
        <v>4</v>
      </c>
      <c r="B16" s="54" t="s">
        <v>128</v>
      </c>
      <c r="C16" s="4">
        <v>696</v>
      </c>
      <c r="D16" s="74" t="s">
        <v>20</v>
      </c>
      <c r="E16" s="4" t="s">
        <v>14</v>
      </c>
      <c r="F16" s="4" t="s">
        <v>30</v>
      </c>
    </row>
    <row r="17" spans="1:6" ht="15.75" x14ac:dyDescent="0.25">
      <c r="A17" s="10"/>
      <c r="B17" s="10"/>
      <c r="C17" s="10"/>
      <c r="D17" s="9"/>
      <c r="E17" s="10"/>
      <c r="F17" s="8"/>
    </row>
    <row r="18" spans="1:6" ht="15.75" x14ac:dyDescent="0.25">
      <c r="A18" s="10"/>
      <c r="B18" s="10"/>
      <c r="C18" s="10"/>
      <c r="D18" s="9"/>
      <c r="E18" s="10"/>
      <c r="F18" s="8"/>
    </row>
    <row r="19" spans="1:6" ht="40.5" customHeight="1" x14ac:dyDescent="0.2"/>
    <row r="20" spans="1:6" x14ac:dyDescent="0.2">
      <c r="A20" s="148"/>
      <c r="B20" s="149"/>
      <c r="C20" s="149"/>
      <c r="D20" s="149"/>
      <c r="E20" s="149"/>
      <c r="F20" s="149"/>
    </row>
    <row r="21" spans="1:6" ht="15" x14ac:dyDescent="0.25">
      <c r="A21" s="146" t="s">
        <v>17</v>
      </c>
      <c r="B21" s="147"/>
      <c r="C21" s="147"/>
      <c r="D21" s="147"/>
      <c r="E21" s="147"/>
      <c r="F21" s="147"/>
    </row>
  </sheetData>
  <autoFilter ref="A12:F16" xr:uid="{55C765B6-9548-417F-A3E8-A611B425FBE6}">
    <sortState xmlns:xlrd2="http://schemas.microsoft.com/office/spreadsheetml/2017/richdata2" ref="A13:F16">
      <sortCondition ref="B12:B16"/>
    </sortState>
  </autoFilter>
  <mergeCells count="12">
    <mergeCell ref="A21:F21"/>
    <mergeCell ref="A1:F1"/>
    <mergeCell ref="A2:E2"/>
    <mergeCell ref="A4:F4"/>
    <mergeCell ref="A5:F5"/>
    <mergeCell ref="A7:B7"/>
    <mergeCell ref="A8:B8"/>
    <mergeCell ref="C8:F8"/>
    <mergeCell ref="A9:B9"/>
    <mergeCell ref="A20:F20"/>
    <mergeCell ref="E7:F7"/>
    <mergeCell ref="E9:F9"/>
  </mergeCells>
  <pageMargins left="0.7" right="0.7" top="0.75" bottom="0.75" header="0.3" footer="0.3"/>
  <pageSetup scale="8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8950C-52DC-4F50-B71E-01BB2C2C2C4D}">
  <sheetPr>
    <pageSetUpPr fitToPage="1"/>
  </sheetPr>
  <dimension ref="A1:F22"/>
  <sheetViews>
    <sheetView topLeftCell="A6" zoomScaleNormal="100" workbookViewId="0">
      <selection activeCell="C19" sqref="C19"/>
    </sheetView>
  </sheetViews>
  <sheetFormatPr baseColWidth="10" defaultColWidth="11.42578125" defaultRowHeight="12.75" x14ac:dyDescent="0.2"/>
  <cols>
    <col min="1" max="1" width="5" style="1" bestFit="1" customWidth="1"/>
    <col min="2" max="2" width="37.42578125" style="3" bestFit="1" customWidth="1"/>
    <col min="3" max="3" width="9.28515625" customWidth="1"/>
    <col min="4" max="4" width="13.7109375" bestFit="1" customWidth="1"/>
    <col min="5" max="5" width="15.42578125" style="1" customWidth="1"/>
    <col min="6" max="6" width="22.7109375"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79</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x14ac:dyDescent="0.2">
      <c r="A13" s="4">
        <v>1</v>
      </c>
      <c r="B13" s="20" t="s">
        <v>80</v>
      </c>
      <c r="C13" s="4">
        <v>38270</v>
      </c>
      <c r="D13" s="19" t="s">
        <v>81</v>
      </c>
      <c r="E13" s="4" t="s">
        <v>14</v>
      </c>
      <c r="F13" s="4" t="s">
        <v>30</v>
      </c>
    </row>
    <row r="14" spans="1:6" x14ac:dyDescent="0.2">
      <c r="A14" s="4">
        <v>2</v>
      </c>
      <c r="B14" s="20" t="s">
        <v>76</v>
      </c>
      <c r="C14" s="11">
        <v>33650</v>
      </c>
      <c r="D14" s="19" t="s">
        <v>20</v>
      </c>
      <c r="E14" s="4" t="s">
        <v>14</v>
      </c>
      <c r="F14" s="4" t="s">
        <v>30</v>
      </c>
    </row>
    <row r="15" spans="1:6" ht="63.75" x14ac:dyDescent="0.2">
      <c r="A15" s="4">
        <v>3</v>
      </c>
      <c r="B15" s="20" t="s">
        <v>127</v>
      </c>
      <c r="C15" s="4">
        <v>37909</v>
      </c>
      <c r="D15" s="19" t="s">
        <v>20</v>
      </c>
      <c r="E15" s="4" t="s">
        <v>19</v>
      </c>
      <c r="F15" s="50" t="s">
        <v>163</v>
      </c>
    </row>
    <row r="16" spans="1:6" x14ac:dyDescent="0.2">
      <c r="A16" s="4">
        <v>4</v>
      </c>
      <c r="B16" s="21" t="s">
        <v>77</v>
      </c>
      <c r="C16" s="11">
        <v>44867</v>
      </c>
      <c r="D16" s="19" t="s">
        <v>78</v>
      </c>
      <c r="E16" s="4" t="s">
        <v>14</v>
      </c>
      <c r="F16" s="35" t="s">
        <v>30</v>
      </c>
    </row>
    <row r="17" spans="1:6" x14ac:dyDescent="0.2">
      <c r="A17" s="4">
        <v>5</v>
      </c>
      <c r="B17" s="54" t="s">
        <v>122</v>
      </c>
      <c r="C17" s="4">
        <v>1635</v>
      </c>
      <c r="D17" s="72" t="s">
        <v>20</v>
      </c>
      <c r="E17" s="4" t="s">
        <v>14</v>
      </c>
      <c r="F17" s="4" t="s">
        <v>30</v>
      </c>
    </row>
    <row r="18" spans="1:6" ht="15.75" x14ac:dyDescent="0.25">
      <c r="A18" s="36"/>
      <c r="B18" s="10"/>
      <c r="C18" s="10"/>
      <c r="D18" s="9"/>
      <c r="E18" s="10"/>
      <c r="F18" s="8"/>
    </row>
    <row r="19" spans="1:6" ht="46.5" customHeight="1" x14ac:dyDescent="0.25">
      <c r="A19" s="36"/>
      <c r="B19" s="10"/>
      <c r="C19" s="10"/>
      <c r="D19" s="9"/>
      <c r="E19" s="10"/>
      <c r="F19" s="8"/>
    </row>
    <row r="21" spans="1:6" x14ac:dyDescent="0.2">
      <c r="A21" s="148"/>
      <c r="B21" s="149"/>
      <c r="C21" s="149"/>
      <c r="D21" s="149"/>
      <c r="E21" s="149"/>
      <c r="F21" s="149"/>
    </row>
    <row r="22" spans="1:6" ht="15" x14ac:dyDescent="0.25">
      <c r="A22" s="146" t="s">
        <v>17</v>
      </c>
      <c r="B22" s="147"/>
      <c r="C22" s="147"/>
      <c r="D22" s="147"/>
      <c r="E22" s="147"/>
      <c r="F22" s="147"/>
    </row>
  </sheetData>
  <autoFilter ref="A12:F17" xr:uid="{EC38950C-52DC-4F50-B71E-01BB2C2C2C4D}">
    <sortState xmlns:xlrd2="http://schemas.microsoft.com/office/spreadsheetml/2017/richdata2" ref="A13:F17">
      <sortCondition ref="B12:B17"/>
    </sortState>
  </autoFilter>
  <mergeCells count="12">
    <mergeCell ref="A22:F22"/>
    <mergeCell ref="A1:F1"/>
    <mergeCell ref="A2:E2"/>
    <mergeCell ref="A4:F4"/>
    <mergeCell ref="A5:F5"/>
    <mergeCell ref="A7:B7"/>
    <mergeCell ref="A8:B8"/>
    <mergeCell ref="C8:F8"/>
    <mergeCell ref="A9:B9"/>
    <mergeCell ref="A21:F21"/>
    <mergeCell ref="E7:F7"/>
    <mergeCell ref="E9:F9"/>
  </mergeCells>
  <pageMargins left="0.7" right="0.7" top="0.75" bottom="0.75" header="0.3" footer="0.3"/>
  <pageSetup scale="89"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301B-8753-4E00-A165-138F9A81315E}">
  <sheetPr>
    <pageSetUpPr fitToPage="1"/>
  </sheetPr>
  <dimension ref="A1:F23"/>
  <sheetViews>
    <sheetView topLeftCell="A6" zoomScaleNormal="100" workbookViewId="0">
      <selection activeCell="B20" sqref="B20"/>
    </sheetView>
  </sheetViews>
  <sheetFormatPr baseColWidth="10" defaultColWidth="11.42578125" defaultRowHeight="12.75" x14ac:dyDescent="0.2"/>
  <cols>
    <col min="1" max="1" width="5" style="1" bestFit="1" customWidth="1"/>
    <col min="2" max="2" width="37.42578125" style="3" bestFit="1" customWidth="1"/>
    <col min="3" max="3" width="13" customWidth="1"/>
    <col min="4" max="4" width="13.7109375" bestFit="1" customWidth="1"/>
    <col min="5" max="5" width="15.42578125" style="1" customWidth="1"/>
    <col min="6" max="6" width="21"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82</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x14ac:dyDescent="0.2">
      <c r="A13" s="20">
        <v>1</v>
      </c>
      <c r="B13" s="20" t="s">
        <v>80</v>
      </c>
      <c r="C13" s="20">
        <v>38260</v>
      </c>
      <c r="D13" s="19" t="s">
        <v>81</v>
      </c>
      <c r="E13" s="20" t="s">
        <v>14</v>
      </c>
      <c r="F13" s="4" t="s">
        <v>30</v>
      </c>
    </row>
    <row r="14" spans="1:6" x14ac:dyDescent="0.2">
      <c r="A14" s="20">
        <v>2</v>
      </c>
      <c r="B14" s="20" t="s">
        <v>76</v>
      </c>
      <c r="C14" s="20">
        <v>37906</v>
      </c>
      <c r="D14" s="19" t="s">
        <v>20</v>
      </c>
      <c r="E14" s="20" t="s">
        <v>14</v>
      </c>
      <c r="F14" s="4" t="s">
        <v>30</v>
      </c>
    </row>
    <row r="15" spans="1:6" ht="76.5" x14ac:dyDescent="0.2">
      <c r="A15" s="20">
        <v>3</v>
      </c>
      <c r="B15" s="20" t="s">
        <v>127</v>
      </c>
      <c r="C15" s="20">
        <v>23273</v>
      </c>
      <c r="D15" s="19" t="s">
        <v>20</v>
      </c>
      <c r="E15" s="20" t="s">
        <v>19</v>
      </c>
      <c r="F15" s="50" t="s">
        <v>163</v>
      </c>
    </row>
    <row r="16" spans="1:6" x14ac:dyDescent="0.2">
      <c r="A16" s="20">
        <v>4</v>
      </c>
      <c r="B16" s="21" t="s">
        <v>77</v>
      </c>
      <c r="C16" s="20">
        <v>44868</v>
      </c>
      <c r="D16" s="19" t="s">
        <v>78</v>
      </c>
      <c r="E16" s="20" t="s">
        <v>14</v>
      </c>
      <c r="F16" s="35" t="s">
        <v>30</v>
      </c>
    </row>
    <row r="17" spans="1:6" x14ac:dyDescent="0.2">
      <c r="A17" s="20">
        <v>5</v>
      </c>
      <c r="B17" s="20" t="s">
        <v>122</v>
      </c>
      <c r="C17" s="20">
        <v>719</v>
      </c>
      <c r="D17" s="19" t="s">
        <v>20</v>
      </c>
      <c r="E17" s="20" t="s">
        <v>14</v>
      </c>
      <c r="F17" s="4" t="s">
        <v>30</v>
      </c>
    </row>
    <row r="18" spans="1:6" x14ac:dyDescent="0.2">
      <c r="C18" s="1"/>
      <c r="D18" s="7"/>
      <c r="F18" s="1"/>
    </row>
    <row r="19" spans="1:6" ht="15.75" x14ac:dyDescent="0.25">
      <c r="A19" s="10"/>
      <c r="B19" s="10"/>
      <c r="C19" s="10"/>
      <c r="D19" s="9"/>
      <c r="E19" s="10"/>
      <c r="F19" s="8"/>
    </row>
    <row r="20" spans="1:6" ht="42" customHeight="1" x14ac:dyDescent="0.25">
      <c r="A20" s="10"/>
      <c r="B20" s="10"/>
      <c r="C20" s="10"/>
      <c r="D20" s="9"/>
      <c r="E20" s="10"/>
      <c r="F20" s="8"/>
    </row>
    <row r="22" spans="1:6" x14ac:dyDescent="0.2">
      <c r="A22" s="148"/>
      <c r="B22" s="149"/>
      <c r="C22" s="149"/>
      <c r="D22" s="149"/>
      <c r="E22" s="149"/>
      <c r="F22" s="149"/>
    </row>
    <row r="23" spans="1:6" ht="15" x14ac:dyDescent="0.25">
      <c r="A23" s="146" t="s">
        <v>17</v>
      </c>
      <c r="B23" s="147"/>
      <c r="C23" s="147"/>
      <c r="D23" s="147"/>
      <c r="E23" s="147"/>
      <c r="F23" s="147"/>
    </row>
  </sheetData>
  <autoFilter ref="A12:F17" xr:uid="{C6C1301B-8753-4E00-A165-138F9A81315E}">
    <sortState xmlns:xlrd2="http://schemas.microsoft.com/office/spreadsheetml/2017/richdata2" ref="A13:F17">
      <sortCondition ref="B12:B17"/>
    </sortState>
  </autoFilter>
  <mergeCells count="12">
    <mergeCell ref="A23:F23"/>
    <mergeCell ref="A1:F1"/>
    <mergeCell ref="A2:E2"/>
    <mergeCell ref="A4:F4"/>
    <mergeCell ref="A5:F5"/>
    <mergeCell ref="A7:B7"/>
    <mergeCell ref="A8:B8"/>
    <mergeCell ref="C8:F8"/>
    <mergeCell ref="A9:B9"/>
    <mergeCell ref="A22:F22"/>
    <mergeCell ref="E7:F7"/>
    <mergeCell ref="E9:F9"/>
  </mergeCells>
  <pageMargins left="0.7" right="0.7" top="0.75" bottom="0.75" header="0.3" footer="0.3"/>
  <pageSetup scale="87"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CD532-01B5-49D7-A533-06492D984376}">
  <sheetPr>
    <pageSetUpPr fitToPage="1"/>
  </sheetPr>
  <dimension ref="A1:F21"/>
  <sheetViews>
    <sheetView topLeftCell="A2" zoomScaleNormal="100" workbookViewId="0">
      <selection activeCell="B18" sqref="B18"/>
    </sheetView>
  </sheetViews>
  <sheetFormatPr baseColWidth="10" defaultColWidth="11.42578125" defaultRowHeight="12.75" x14ac:dyDescent="0.2"/>
  <cols>
    <col min="1" max="1" width="5" style="1" bestFit="1" customWidth="1"/>
    <col min="2" max="2" width="37.42578125" style="3" bestFit="1" customWidth="1"/>
    <col min="3" max="3" width="13" style="5" customWidth="1"/>
    <col min="4" max="4" width="13.7109375" bestFit="1" customWidth="1"/>
    <col min="5" max="5" width="15.42578125" style="1" customWidth="1"/>
    <col min="6" max="6" width="21"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83</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x14ac:dyDescent="0.2">
      <c r="A13" s="4">
        <v>1</v>
      </c>
      <c r="B13" s="20" t="s">
        <v>76</v>
      </c>
      <c r="C13" s="4">
        <v>37902</v>
      </c>
      <c r="D13" s="19" t="s">
        <v>20</v>
      </c>
      <c r="E13" s="20" t="s">
        <v>14</v>
      </c>
      <c r="F13" s="4" t="s">
        <v>30</v>
      </c>
    </row>
    <row r="14" spans="1:6" ht="76.5" x14ac:dyDescent="0.2">
      <c r="A14" s="4">
        <v>2</v>
      </c>
      <c r="B14" s="54" t="s">
        <v>127</v>
      </c>
      <c r="C14" s="4">
        <v>36607</v>
      </c>
      <c r="D14" s="72" t="s">
        <v>20</v>
      </c>
      <c r="E14" s="54" t="s">
        <v>19</v>
      </c>
      <c r="F14" s="50" t="s">
        <v>163</v>
      </c>
    </row>
    <row r="15" spans="1:6" x14ac:dyDescent="0.2">
      <c r="A15" s="4">
        <v>3</v>
      </c>
      <c r="B15" s="21" t="s">
        <v>77</v>
      </c>
      <c r="C15" s="4">
        <v>44869</v>
      </c>
      <c r="D15" s="19" t="s">
        <v>78</v>
      </c>
      <c r="E15" s="20" t="s">
        <v>14</v>
      </c>
      <c r="F15" s="35" t="s">
        <v>30</v>
      </c>
    </row>
    <row r="16" spans="1:6" ht="25.5" x14ac:dyDescent="0.2">
      <c r="A16" s="4">
        <v>4</v>
      </c>
      <c r="B16" s="54" t="s">
        <v>122</v>
      </c>
      <c r="C16" s="35" t="s">
        <v>311</v>
      </c>
      <c r="D16" s="72" t="s">
        <v>20</v>
      </c>
      <c r="E16" s="54" t="s">
        <v>14</v>
      </c>
      <c r="F16" s="4" t="s">
        <v>30</v>
      </c>
    </row>
    <row r="17" spans="1:6" ht="15.75" x14ac:dyDescent="0.25">
      <c r="A17" s="36"/>
      <c r="B17" s="10"/>
      <c r="C17" s="36"/>
      <c r="D17" s="9"/>
      <c r="E17" s="10"/>
      <c r="F17" s="8"/>
    </row>
    <row r="18" spans="1:6" ht="42.75" customHeight="1" x14ac:dyDescent="0.25">
      <c r="A18" s="36"/>
      <c r="B18" s="10"/>
      <c r="C18" s="36"/>
      <c r="D18" s="9"/>
      <c r="E18" s="10"/>
      <c r="F18" s="8"/>
    </row>
    <row r="20" spans="1:6" x14ac:dyDescent="0.2">
      <c r="A20" s="148"/>
      <c r="B20" s="149"/>
      <c r="C20" s="149"/>
      <c r="D20" s="149"/>
      <c r="E20" s="149"/>
      <c r="F20" s="149"/>
    </row>
    <row r="21" spans="1:6" ht="15" x14ac:dyDescent="0.25">
      <c r="A21" s="146" t="s">
        <v>17</v>
      </c>
      <c r="B21" s="147"/>
      <c r="C21" s="147"/>
      <c r="D21" s="147"/>
      <c r="E21" s="147"/>
      <c r="F21" s="147"/>
    </row>
  </sheetData>
  <autoFilter ref="A12:F16" xr:uid="{D87CD532-01B5-49D7-A533-06492D984376}">
    <sortState xmlns:xlrd2="http://schemas.microsoft.com/office/spreadsheetml/2017/richdata2" ref="A13:F16">
      <sortCondition ref="B12:B16"/>
    </sortState>
  </autoFilter>
  <mergeCells count="12">
    <mergeCell ref="A21:F21"/>
    <mergeCell ref="A1:F1"/>
    <mergeCell ref="A2:E2"/>
    <mergeCell ref="A4:F4"/>
    <mergeCell ref="A5:F5"/>
    <mergeCell ref="A7:B7"/>
    <mergeCell ref="A8:B8"/>
    <mergeCell ref="C8:F8"/>
    <mergeCell ref="A9:B9"/>
    <mergeCell ref="A20:F20"/>
    <mergeCell ref="E7:F7"/>
    <mergeCell ref="E9:F9"/>
  </mergeCells>
  <pageMargins left="0.7" right="0.7" top="0.75" bottom="0.75" header="0.3" footer="0.3"/>
  <pageSetup scale="87"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BD1F9-4602-483F-A777-9F719E25AF61}">
  <sheetPr>
    <pageSetUpPr fitToPage="1"/>
  </sheetPr>
  <dimension ref="A1:F21"/>
  <sheetViews>
    <sheetView topLeftCell="A6" zoomScaleNormal="100" workbookViewId="0">
      <selection activeCell="D18" sqref="D18"/>
    </sheetView>
  </sheetViews>
  <sheetFormatPr baseColWidth="10" defaultColWidth="11.42578125" defaultRowHeight="12.75" x14ac:dyDescent="0.2"/>
  <cols>
    <col min="1" max="1" width="6.42578125" style="1" customWidth="1"/>
    <col min="2" max="2" width="37.42578125" style="3" bestFit="1" customWidth="1"/>
    <col min="3" max="3" width="14" customWidth="1"/>
    <col min="4" max="4" width="13.7109375" style="5" bestFit="1" customWidth="1"/>
    <col min="5" max="5" width="15.42578125" style="1" customWidth="1"/>
    <col min="6" max="6" width="21"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84</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ht="25.5" x14ac:dyDescent="0.2">
      <c r="A13" s="4">
        <v>1</v>
      </c>
      <c r="B13" s="28" t="s">
        <v>85</v>
      </c>
      <c r="C13" s="11">
        <v>9007</v>
      </c>
      <c r="D13" s="74" t="s">
        <v>20</v>
      </c>
      <c r="E13" s="4" t="s">
        <v>14</v>
      </c>
      <c r="F13" s="4" t="s">
        <v>30</v>
      </c>
    </row>
    <row r="14" spans="1:6" ht="76.5" x14ac:dyDescent="0.2">
      <c r="A14" s="4">
        <v>2</v>
      </c>
      <c r="B14" s="54" t="s">
        <v>127</v>
      </c>
      <c r="C14" s="4">
        <v>37911</v>
      </c>
      <c r="D14" s="74" t="s">
        <v>20</v>
      </c>
      <c r="E14" s="4" t="s">
        <v>19</v>
      </c>
      <c r="F14" s="50" t="s">
        <v>163</v>
      </c>
    </row>
    <row r="15" spans="1:6" x14ac:dyDescent="0.2">
      <c r="A15" s="4">
        <v>3</v>
      </c>
      <c r="B15" s="21" t="s">
        <v>77</v>
      </c>
      <c r="C15" s="11">
        <v>44865</v>
      </c>
      <c r="D15" s="74" t="s">
        <v>78</v>
      </c>
      <c r="E15" s="4" t="s">
        <v>14</v>
      </c>
      <c r="F15" s="35" t="s">
        <v>30</v>
      </c>
    </row>
    <row r="16" spans="1:6" x14ac:dyDescent="0.2">
      <c r="C16" s="1"/>
      <c r="D16" s="73"/>
      <c r="F16" s="1"/>
    </row>
    <row r="17" spans="1:6" ht="15.75" x14ac:dyDescent="0.25">
      <c r="A17" s="10"/>
      <c r="B17" s="10"/>
      <c r="C17" s="10"/>
      <c r="D17" s="9"/>
      <c r="E17" s="10"/>
      <c r="F17" s="8"/>
    </row>
    <row r="18" spans="1:6" ht="57.75" customHeight="1" x14ac:dyDescent="0.25">
      <c r="A18" s="10"/>
      <c r="B18" s="10"/>
      <c r="C18" s="10"/>
      <c r="D18" s="9"/>
      <c r="E18" s="10"/>
      <c r="F18" s="8"/>
    </row>
    <row r="20" spans="1:6" x14ac:dyDescent="0.2">
      <c r="A20" s="148"/>
      <c r="B20" s="149"/>
      <c r="C20" s="149"/>
      <c r="D20" s="149"/>
      <c r="E20" s="149"/>
      <c r="F20" s="149"/>
    </row>
    <row r="21" spans="1:6" ht="15" x14ac:dyDescent="0.25">
      <c r="A21" s="146" t="s">
        <v>17</v>
      </c>
      <c r="B21" s="147"/>
      <c r="C21" s="147"/>
      <c r="D21" s="147"/>
      <c r="E21" s="147"/>
      <c r="F21" s="147"/>
    </row>
  </sheetData>
  <autoFilter ref="A12:F15" xr:uid="{B12BD1F9-4602-483F-A777-9F719E25AF61}">
    <sortState xmlns:xlrd2="http://schemas.microsoft.com/office/spreadsheetml/2017/richdata2" ref="A13:F15">
      <sortCondition ref="B12:B15"/>
    </sortState>
  </autoFilter>
  <mergeCells count="12">
    <mergeCell ref="A21:F21"/>
    <mergeCell ref="A1:F1"/>
    <mergeCell ref="A2:E2"/>
    <mergeCell ref="A4:F4"/>
    <mergeCell ref="A5:F5"/>
    <mergeCell ref="A7:B7"/>
    <mergeCell ref="A8:B8"/>
    <mergeCell ref="C8:F8"/>
    <mergeCell ref="A9:B9"/>
    <mergeCell ref="A20:F20"/>
    <mergeCell ref="E7:F7"/>
    <mergeCell ref="E9:F9"/>
  </mergeCells>
  <pageMargins left="0.7" right="0.7" top="0.75" bottom="0.75" header="0.3" footer="0.3"/>
  <pageSetup scale="85"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A250-6634-4006-A7A7-1AA692824D51}">
  <sheetPr>
    <pageSetUpPr fitToPage="1"/>
  </sheetPr>
  <dimension ref="A1:F32"/>
  <sheetViews>
    <sheetView topLeftCell="A20" zoomScale="90" zoomScaleNormal="90" workbookViewId="0">
      <selection activeCell="E27" sqref="E27"/>
    </sheetView>
  </sheetViews>
  <sheetFormatPr baseColWidth="10" defaultColWidth="11.42578125" defaultRowHeight="12.75" x14ac:dyDescent="0.2"/>
  <cols>
    <col min="1" max="1" width="5" style="1" bestFit="1" customWidth="1"/>
    <col min="2" max="2" width="37.42578125" style="3" bestFit="1" customWidth="1"/>
    <col min="3" max="3" width="12.7109375" customWidth="1"/>
    <col min="4" max="4" width="13.7109375" bestFit="1" customWidth="1"/>
    <col min="5" max="5" width="15.42578125" style="1" customWidth="1"/>
    <col min="6" max="6" width="34.7109375" style="24"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86</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s="38" customFormat="1" ht="24" customHeight="1" x14ac:dyDescent="0.2">
      <c r="A13" s="16">
        <v>1</v>
      </c>
      <c r="B13" s="21" t="s">
        <v>69</v>
      </c>
      <c r="C13" s="14">
        <v>39479</v>
      </c>
      <c r="D13" s="22" t="s">
        <v>68</v>
      </c>
      <c r="E13" s="16" t="s">
        <v>14</v>
      </c>
      <c r="F13" s="26" t="s">
        <v>30</v>
      </c>
    </row>
    <row r="14" spans="1:6" s="38" customFormat="1" ht="69.75" customHeight="1" x14ac:dyDescent="0.2">
      <c r="A14" s="16">
        <f>A13+1</f>
        <v>2</v>
      </c>
      <c r="B14" s="52" t="s">
        <v>27</v>
      </c>
      <c r="C14" s="14">
        <v>34747</v>
      </c>
      <c r="D14" s="22" t="s">
        <v>26</v>
      </c>
      <c r="E14" s="16" t="s">
        <v>19</v>
      </c>
      <c r="F14" s="26" t="s">
        <v>38</v>
      </c>
    </row>
    <row r="15" spans="1:6" s="38" customFormat="1" ht="42.75" customHeight="1" x14ac:dyDescent="0.2">
      <c r="A15" s="16">
        <f t="shared" ref="A15:A24" si="0">A14+1</f>
        <v>3</v>
      </c>
      <c r="B15" s="21" t="s">
        <v>293</v>
      </c>
      <c r="C15" s="14">
        <v>34309</v>
      </c>
      <c r="D15" s="22" t="s">
        <v>66</v>
      </c>
      <c r="E15" s="16" t="s">
        <v>14</v>
      </c>
      <c r="F15" s="26" t="s">
        <v>30</v>
      </c>
    </row>
    <row r="16" spans="1:6" s="38" customFormat="1" ht="42.75" customHeight="1" x14ac:dyDescent="0.2">
      <c r="A16" s="16">
        <f t="shared" si="0"/>
        <v>4</v>
      </c>
      <c r="B16" s="21" t="s">
        <v>112</v>
      </c>
      <c r="C16" s="14">
        <v>34816</v>
      </c>
      <c r="D16" s="22" t="s">
        <v>20</v>
      </c>
      <c r="E16" s="16" t="s">
        <v>14</v>
      </c>
      <c r="F16" s="26" t="s">
        <v>179</v>
      </c>
    </row>
    <row r="17" spans="1:6" s="38" customFormat="1" ht="42.75" customHeight="1" x14ac:dyDescent="0.2">
      <c r="A17" s="16">
        <f t="shared" si="0"/>
        <v>5</v>
      </c>
      <c r="B17" s="21" t="s">
        <v>88</v>
      </c>
      <c r="C17" s="97"/>
      <c r="D17" s="22" t="s">
        <v>20</v>
      </c>
      <c r="E17" s="16" t="s">
        <v>19</v>
      </c>
      <c r="F17" s="26" t="s">
        <v>155</v>
      </c>
    </row>
    <row r="18" spans="1:6" s="38" customFormat="1" ht="37.5" customHeight="1" x14ac:dyDescent="0.2">
      <c r="A18" s="16">
        <f t="shared" si="0"/>
        <v>6</v>
      </c>
      <c r="B18" s="21" t="s">
        <v>87</v>
      </c>
      <c r="C18" s="14">
        <v>34245</v>
      </c>
      <c r="D18" s="22" t="s">
        <v>26</v>
      </c>
      <c r="E18" s="16" t="s">
        <v>19</v>
      </c>
      <c r="F18" s="26" t="s">
        <v>192</v>
      </c>
    </row>
    <row r="19" spans="1:6" s="38" customFormat="1" ht="64.5" customHeight="1" x14ac:dyDescent="0.2">
      <c r="A19" s="16">
        <f t="shared" si="0"/>
        <v>7</v>
      </c>
      <c r="B19" s="21" t="s">
        <v>295</v>
      </c>
      <c r="C19" s="14">
        <v>34386</v>
      </c>
      <c r="D19" s="22" t="s">
        <v>66</v>
      </c>
      <c r="E19" s="16" t="s">
        <v>14</v>
      </c>
      <c r="F19" s="26" t="s">
        <v>30</v>
      </c>
    </row>
    <row r="20" spans="1:6" s="38" customFormat="1" ht="118.5" customHeight="1" x14ac:dyDescent="0.2">
      <c r="A20" s="16">
        <f t="shared" si="0"/>
        <v>8</v>
      </c>
      <c r="B20" s="21" t="s">
        <v>118</v>
      </c>
      <c r="C20" s="16">
        <v>34735</v>
      </c>
      <c r="D20" s="22" t="s">
        <v>20</v>
      </c>
      <c r="E20" s="16" t="s">
        <v>19</v>
      </c>
      <c r="F20" s="26" t="s">
        <v>129</v>
      </c>
    </row>
    <row r="21" spans="1:6" s="38" customFormat="1" ht="51" customHeight="1" x14ac:dyDescent="0.2">
      <c r="A21" s="16">
        <f t="shared" si="0"/>
        <v>9</v>
      </c>
      <c r="B21" s="21" t="s">
        <v>125</v>
      </c>
      <c r="C21" s="14">
        <v>34523</v>
      </c>
      <c r="D21" s="22" t="s">
        <v>20</v>
      </c>
      <c r="E21" s="16" t="s">
        <v>19</v>
      </c>
      <c r="F21" s="26" t="s">
        <v>163</v>
      </c>
    </row>
    <row r="22" spans="1:6" s="38" customFormat="1" ht="50.25" customHeight="1" x14ac:dyDescent="0.2">
      <c r="A22" s="16">
        <f t="shared" si="0"/>
        <v>10</v>
      </c>
      <c r="B22" s="21" t="s">
        <v>109</v>
      </c>
      <c r="C22" s="14">
        <v>11848</v>
      </c>
      <c r="D22" s="22" t="s">
        <v>66</v>
      </c>
      <c r="E22" s="16" t="s">
        <v>14</v>
      </c>
      <c r="F22" s="26" t="s">
        <v>30</v>
      </c>
    </row>
    <row r="23" spans="1:6" s="38" customFormat="1" ht="87" customHeight="1" x14ac:dyDescent="0.2">
      <c r="A23" s="16">
        <f t="shared" si="0"/>
        <v>11</v>
      </c>
      <c r="B23" s="21" t="s">
        <v>89</v>
      </c>
      <c r="C23" s="14">
        <v>45744</v>
      </c>
      <c r="D23" s="22" t="s">
        <v>90</v>
      </c>
      <c r="E23" s="16" t="s">
        <v>14</v>
      </c>
      <c r="F23" s="26" t="s">
        <v>193</v>
      </c>
    </row>
    <row r="24" spans="1:6" s="38" customFormat="1" ht="87.75" customHeight="1" x14ac:dyDescent="0.2">
      <c r="A24" s="16">
        <f t="shared" si="0"/>
        <v>12</v>
      </c>
      <c r="B24" s="21" t="s">
        <v>89</v>
      </c>
      <c r="C24" s="14">
        <v>45745</v>
      </c>
      <c r="D24" s="22" t="s">
        <v>90</v>
      </c>
      <c r="E24" s="16" t="s">
        <v>14</v>
      </c>
      <c r="F24" s="26" t="s">
        <v>193</v>
      </c>
    </row>
    <row r="25" spans="1:6" x14ac:dyDescent="0.2">
      <c r="B25" s="57"/>
      <c r="C25" s="5"/>
      <c r="D25" s="6"/>
      <c r="F25" s="75"/>
    </row>
    <row r="26" spans="1:6" x14ac:dyDescent="0.2">
      <c r="B26" s="57"/>
      <c r="C26" s="5"/>
      <c r="D26" s="6"/>
      <c r="F26" s="75"/>
    </row>
    <row r="27" spans="1:6" x14ac:dyDescent="0.2">
      <c r="B27" s="57"/>
      <c r="C27" s="5"/>
      <c r="D27" s="6"/>
      <c r="F27" s="75"/>
    </row>
    <row r="28" spans="1:6" x14ac:dyDescent="0.2">
      <c r="B28" s="57"/>
      <c r="C28" s="5"/>
      <c r="D28" s="6"/>
      <c r="F28" s="75"/>
    </row>
    <row r="29" spans="1:6" ht="15.75" x14ac:dyDescent="0.25">
      <c r="A29" s="10"/>
      <c r="B29" s="10"/>
      <c r="C29" s="10"/>
      <c r="D29" s="9"/>
      <c r="E29" s="10"/>
      <c r="F29" s="34"/>
    </row>
    <row r="31" spans="1:6" x14ac:dyDescent="0.2">
      <c r="A31" s="148"/>
      <c r="B31" s="149"/>
      <c r="C31" s="149"/>
      <c r="D31" s="149"/>
      <c r="E31" s="149"/>
      <c r="F31" s="149"/>
    </row>
    <row r="32" spans="1:6" ht="15" x14ac:dyDescent="0.25">
      <c r="A32" s="146" t="s">
        <v>17</v>
      </c>
      <c r="B32" s="147"/>
      <c r="C32" s="147"/>
      <c r="D32" s="147"/>
      <c r="E32" s="147"/>
      <c r="F32" s="147"/>
    </row>
  </sheetData>
  <autoFilter ref="A12:F24" xr:uid="{B32FA250-6634-4006-A7A7-1AA692824D51}">
    <sortState xmlns:xlrd2="http://schemas.microsoft.com/office/spreadsheetml/2017/richdata2" ref="A13:F24">
      <sortCondition ref="B12:B24"/>
    </sortState>
  </autoFilter>
  <mergeCells count="12">
    <mergeCell ref="A32:F32"/>
    <mergeCell ref="A1:F1"/>
    <mergeCell ref="A2:E2"/>
    <mergeCell ref="A4:F4"/>
    <mergeCell ref="A5:F5"/>
    <mergeCell ref="A7:B7"/>
    <mergeCell ref="A8:B8"/>
    <mergeCell ref="C8:F8"/>
    <mergeCell ref="A9:B9"/>
    <mergeCell ref="A31:F31"/>
    <mergeCell ref="E7:F7"/>
    <mergeCell ref="E9:F9"/>
  </mergeCells>
  <pageMargins left="0.7" right="0.7" top="0.75" bottom="0.75" header="0.3" footer="0.3"/>
  <pageSetup scale="67"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242C-EDD3-4132-90F4-697DDDF21418}">
  <sheetPr>
    <pageSetUpPr fitToPage="1"/>
  </sheetPr>
  <dimension ref="A1:F32"/>
  <sheetViews>
    <sheetView topLeftCell="A13" zoomScaleNormal="100" workbookViewId="0">
      <selection activeCell="E20" sqref="E20"/>
    </sheetView>
  </sheetViews>
  <sheetFormatPr baseColWidth="10" defaultColWidth="11.42578125" defaultRowHeight="12.75" x14ac:dyDescent="0.2"/>
  <cols>
    <col min="1" max="1" width="5" style="1" bestFit="1" customWidth="1"/>
    <col min="2" max="2" width="37.42578125" style="3" bestFit="1" customWidth="1"/>
    <col min="3" max="3" width="13.28515625" customWidth="1"/>
    <col min="4" max="4" width="13.7109375" bestFit="1" customWidth="1"/>
    <col min="5" max="5" width="15.42578125" style="1" customWidth="1"/>
    <col min="6" max="6" width="31.5703125" style="53"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91</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s="38" customFormat="1" ht="25.5" customHeight="1" x14ac:dyDescent="0.2">
      <c r="A13" s="18">
        <v>1</v>
      </c>
      <c r="B13" s="21" t="s">
        <v>69</v>
      </c>
      <c r="C13" s="14">
        <v>35733</v>
      </c>
      <c r="D13" s="22" t="s">
        <v>92</v>
      </c>
      <c r="E13" s="16" t="s">
        <v>14</v>
      </c>
      <c r="F13" s="56" t="s">
        <v>30</v>
      </c>
    </row>
    <row r="14" spans="1:6" s="38" customFormat="1" ht="64.5" customHeight="1" x14ac:dyDescent="0.2">
      <c r="A14" s="16">
        <f t="shared" ref="A14:A25" si="0">A13+1</f>
        <v>2</v>
      </c>
      <c r="B14" s="52" t="s">
        <v>27</v>
      </c>
      <c r="C14" s="14">
        <v>34748</v>
      </c>
      <c r="D14" s="22" t="s">
        <v>26</v>
      </c>
      <c r="E14" s="16" t="s">
        <v>19</v>
      </c>
      <c r="F14" s="26" t="s">
        <v>38</v>
      </c>
    </row>
    <row r="15" spans="1:6" s="38" customFormat="1" ht="69.75" customHeight="1" x14ac:dyDescent="0.2">
      <c r="A15" s="16">
        <f t="shared" si="0"/>
        <v>3</v>
      </c>
      <c r="B15" s="21" t="s">
        <v>65</v>
      </c>
      <c r="C15" s="14">
        <v>34246</v>
      </c>
      <c r="D15" s="22" t="s">
        <v>26</v>
      </c>
      <c r="E15" s="16" t="s">
        <v>19</v>
      </c>
      <c r="F15" s="26" t="s">
        <v>154</v>
      </c>
    </row>
    <row r="16" spans="1:6" s="38" customFormat="1" ht="42.75" customHeight="1" x14ac:dyDescent="0.2">
      <c r="A16" s="16">
        <f t="shared" si="0"/>
        <v>4</v>
      </c>
      <c r="B16" s="21" t="s">
        <v>293</v>
      </c>
      <c r="C16" s="14">
        <v>34297</v>
      </c>
      <c r="D16" s="22" t="s">
        <v>66</v>
      </c>
      <c r="E16" s="16" t="s">
        <v>14</v>
      </c>
      <c r="F16" s="56" t="s">
        <v>30</v>
      </c>
    </row>
    <row r="17" spans="1:6" s="38" customFormat="1" ht="42.75" customHeight="1" x14ac:dyDescent="0.2">
      <c r="A17" s="16">
        <f t="shared" si="0"/>
        <v>5</v>
      </c>
      <c r="B17" s="21" t="s">
        <v>112</v>
      </c>
      <c r="C17" s="14">
        <v>36600</v>
      </c>
      <c r="D17" s="22" t="s">
        <v>20</v>
      </c>
      <c r="E17" s="16" t="s">
        <v>14</v>
      </c>
      <c r="F17" s="26" t="s">
        <v>179</v>
      </c>
    </row>
    <row r="18" spans="1:6" s="38" customFormat="1" ht="42.75" customHeight="1" x14ac:dyDescent="0.2">
      <c r="A18" s="16">
        <f t="shared" si="0"/>
        <v>6</v>
      </c>
      <c r="B18" s="21" t="s">
        <v>88</v>
      </c>
      <c r="C18" s="14">
        <v>34742</v>
      </c>
      <c r="D18" s="22" t="s">
        <v>20</v>
      </c>
      <c r="E18" s="16" t="s">
        <v>14</v>
      </c>
      <c r="F18" s="26" t="s">
        <v>130</v>
      </c>
    </row>
    <row r="19" spans="1:6" s="38" customFormat="1" x14ac:dyDescent="0.2">
      <c r="A19" s="16">
        <f t="shared" si="0"/>
        <v>7</v>
      </c>
      <c r="B19" s="21" t="s">
        <v>295</v>
      </c>
      <c r="C19" s="14">
        <v>34379</v>
      </c>
      <c r="D19" s="22" t="s">
        <v>66</v>
      </c>
      <c r="E19" s="16" t="s">
        <v>14</v>
      </c>
      <c r="F19" s="56" t="s">
        <v>30</v>
      </c>
    </row>
    <row r="20" spans="1:6" s="38" customFormat="1" ht="76.5" customHeight="1" x14ac:dyDescent="0.2">
      <c r="A20" s="16">
        <f t="shared" si="0"/>
        <v>8</v>
      </c>
      <c r="B20" s="21" t="s">
        <v>118</v>
      </c>
      <c r="C20" s="16">
        <v>34736</v>
      </c>
      <c r="D20" s="22" t="s">
        <v>20</v>
      </c>
      <c r="E20" s="16" t="s">
        <v>19</v>
      </c>
      <c r="F20" s="26" t="s">
        <v>129</v>
      </c>
    </row>
    <row r="21" spans="1:6" s="38" customFormat="1" ht="45" customHeight="1" x14ac:dyDescent="0.2">
      <c r="A21" s="16">
        <f t="shared" si="0"/>
        <v>9</v>
      </c>
      <c r="B21" s="21" t="s">
        <v>125</v>
      </c>
      <c r="C21" s="14">
        <v>34537</v>
      </c>
      <c r="D21" s="22" t="s">
        <v>20</v>
      </c>
      <c r="E21" s="16" t="s">
        <v>19</v>
      </c>
      <c r="F21" s="26" t="s">
        <v>163</v>
      </c>
    </row>
    <row r="22" spans="1:6" x14ac:dyDescent="0.2">
      <c r="A22" s="16">
        <f t="shared" si="0"/>
        <v>10</v>
      </c>
      <c r="B22" s="21" t="s">
        <v>124</v>
      </c>
      <c r="C22" s="14">
        <v>18366</v>
      </c>
      <c r="D22" s="22" t="s">
        <v>20</v>
      </c>
      <c r="E22" s="16" t="s">
        <v>14</v>
      </c>
      <c r="F22" s="56" t="s">
        <v>30</v>
      </c>
    </row>
    <row r="23" spans="1:6" x14ac:dyDescent="0.2">
      <c r="A23" s="16">
        <f t="shared" si="0"/>
        <v>11</v>
      </c>
      <c r="B23" s="21" t="s">
        <v>109</v>
      </c>
      <c r="C23" s="14">
        <v>34491</v>
      </c>
      <c r="D23" s="22" t="s">
        <v>66</v>
      </c>
      <c r="E23" s="16" t="s">
        <v>14</v>
      </c>
      <c r="F23" s="56" t="s">
        <v>30</v>
      </c>
    </row>
    <row r="24" spans="1:6" x14ac:dyDescent="0.2">
      <c r="A24" s="16">
        <f t="shared" si="0"/>
        <v>12</v>
      </c>
      <c r="B24" s="21" t="s">
        <v>73</v>
      </c>
      <c r="C24" s="14">
        <v>34162</v>
      </c>
      <c r="D24" s="22" t="s">
        <v>68</v>
      </c>
      <c r="E24" s="16" t="s">
        <v>14</v>
      </c>
      <c r="F24" s="56" t="s">
        <v>30</v>
      </c>
    </row>
    <row r="25" spans="1:6" x14ac:dyDescent="0.2">
      <c r="A25" s="16">
        <f t="shared" si="0"/>
        <v>13</v>
      </c>
      <c r="B25" s="21" t="s">
        <v>73</v>
      </c>
      <c r="C25" s="14">
        <v>34164</v>
      </c>
      <c r="D25" s="22" t="s">
        <v>68</v>
      </c>
      <c r="E25" s="16" t="s">
        <v>14</v>
      </c>
      <c r="F25" s="56" t="s">
        <v>30</v>
      </c>
    </row>
    <row r="26" spans="1:6" x14ac:dyDescent="0.2">
      <c r="B26" s="57"/>
      <c r="C26" s="5"/>
      <c r="D26" s="6"/>
      <c r="F26" s="76"/>
    </row>
    <row r="27" spans="1:6" x14ac:dyDescent="0.2">
      <c r="B27" s="57"/>
      <c r="C27" s="5"/>
      <c r="D27" s="6"/>
      <c r="F27" s="76"/>
    </row>
    <row r="28" spans="1:6" x14ac:dyDescent="0.2">
      <c r="B28" s="57"/>
      <c r="C28" s="5"/>
      <c r="D28" s="6"/>
      <c r="F28" s="76"/>
    </row>
    <row r="29" spans="1:6" ht="15.75" x14ac:dyDescent="0.25">
      <c r="A29" s="10"/>
      <c r="B29" s="10"/>
      <c r="C29" s="10"/>
      <c r="D29" s="9"/>
      <c r="E29" s="10"/>
      <c r="F29" s="55"/>
    </row>
    <row r="31" spans="1:6" x14ac:dyDescent="0.2">
      <c r="A31" s="148"/>
      <c r="B31" s="149"/>
      <c r="C31" s="149"/>
      <c r="D31" s="149"/>
      <c r="E31" s="149"/>
      <c r="F31" s="149"/>
    </row>
    <row r="32" spans="1:6" ht="15" x14ac:dyDescent="0.25">
      <c r="A32" s="146" t="s">
        <v>17</v>
      </c>
      <c r="B32" s="147"/>
      <c r="C32" s="147"/>
      <c r="D32" s="147"/>
      <c r="E32" s="147"/>
      <c r="F32" s="147"/>
    </row>
  </sheetData>
  <autoFilter ref="A12:F25" xr:uid="{5353242C-EDD3-4132-90F4-697DDDF21418}">
    <sortState xmlns:xlrd2="http://schemas.microsoft.com/office/spreadsheetml/2017/richdata2" ref="A13:F25">
      <sortCondition ref="B12:B25"/>
    </sortState>
  </autoFilter>
  <mergeCells count="12">
    <mergeCell ref="A32:F32"/>
    <mergeCell ref="A1:F1"/>
    <mergeCell ref="A2:E2"/>
    <mergeCell ref="A4:F4"/>
    <mergeCell ref="A5:F5"/>
    <mergeCell ref="A7:B7"/>
    <mergeCell ref="A8:B8"/>
    <mergeCell ref="C8:F8"/>
    <mergeCell ref="A9:B9"/>
    <mergeCell ref="A31:F31"/>
    <mergeCell ref="E7:F7"/>
    <mergeCell ref="E9:F9"/>
  </mergeCells>
  <pageMargins left="0.7" right="0.7" top="0.75" bottom="0.75" header="0.3" footer="0.3"/>
  <pageSetup scale="7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10C4-4245-4D6B-94A1-D4DC3D1D9F40}">
  <sheetPr>
    <pageSetUpPr fitToPage="1"/>
  </sheetPr>
  <dimension ref="A1:F32"/>
  <sheetViews>
    <sheetView topLeftCell="A15" zoomScaleNormal="100" workbookViewId="0">
      <selection activeCell="F20" sqref="F20"/>
    </sheetView>
  </sheetViews>
  <sheetFormatPr baseColWidth="10" defaultColWidth="11.42578125" defaultRowHeight="12.75" x14ac:dyDescent="0.2"/>
  <cols>
    <col min="1" max="1" width="5" style="1" bestFit="1" customWidth="1"/>
    <col min="2" max="2" width="37.42578125" style="3" bestFit="1" customWidth="1"/>
    <col min="3" max="3" width="13.42578125" customWidth="1"/>
    <col min="4" max="4" width="13.7109375" bestFit="1" customWidth="1"/>
    <col min="5" max="5" width="15.42578125" style="1" customWidth="1"/>
    <col min="6" max="6" width="30.28515625" style="53"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93</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s="38" customFormat="1" ht="62.25" customHeight="1" x14ac:dyDescent="0.2">
      <c r="A13" s="18">
        <v>1</v>
      </c>
      <c r="B13" s="21" t="s">
        <v>69</v>
      </c>
      <c r="C13" s="14">
        <v>39163</v>
      </c>
      <c r="D13" s="22" t="s">
        <v>92</v>
      </c>
      <c r="E13" s="16" t="s">
        <v>14</v>
      </c>
      <c r="F13" s="56" t="s">
        <v>30</v>
      </c>
    </row>
    <row r="14" spans="1:6" s="38" customFormat="1" ht="76.5" x14ac:dyDescent="0.2">
      <c r="A14" s="16">
        <f>A13+1</f>
        <v>2</v>
      </c>
      <c r="B14" s="52" t="s">
        <v>65</v>
      </c>
      <c r="C14" s="14">
        <v>34409</v>
      </c>
      <c r="D14" s="22" t="s">
        <v>26</v>
      </c>
      <c r="E14" s="16" t="s">
        <v>19</v>
      </c>
      <c r="F14" s="26" t="s">
        <v>154</v>
      </c>
    </row>
    <row r="15" spans="1:6" s="38" customFormat="1" ht="47.25" customHeight="1" x14ac:dyDescent="0.2">
      <c r="A15" s="16">
        <f t="shared" ref="A15:A21" si="0">A14+1</f>
        <v>3</v>
      </c>
      <c r="B15" s="21" t="s">
        <v>293</v>
      </c>
      <c r="C15" s="14">
        <v>34296</v>
      </c>
      <c r="D15" s="22" t="s">
        <v>66</v>
      </c>
      <c r="E15" s="16" t="s">
        <v>14</v>
      </c>
      <c r="F15" s="56" t="s">
        <v>30</v>
      </c>
    </row>
    <row r="16" spans="1:6" s="38" customFormat="1" ht="47.25" customHeight="1" x14ac:dyDescent="0.2">
      <c r="A16" s="16">
        <f t="shared" si="0"/>
        <v>4</v>
      </c>
      <c r="B16" s="21" t="s">
        <v>109</v>
      </c>
      <c r="C16" s="14">
        <v>34502</v>
      </c>
      <c r="D16" s="22" t="s">
        <v>66</v>
      </c>
      <c r="E16" s="16" t="s">
        <v>14</v>
      </c>
      <c r="F16" s="56" t="s">
        <v>30</v>
      </c>
    </row>
    <row r="17" spans="1:6" s="38" customFormat="1" ht="47.25" customHeight="1" x14ac:dyDescent="0.2">
      <c r="A17" s="16">
        <f t="shared" si="0"/>
        <v>5</v>
      </c>
      <c r="B17" s="21" t="s">
        <v>295</v>
      </c>
      <c r="C17" s="14">
        <v>34381</v>
      </c>
      <c r="D17" s="22" t="s">
        <v>66</v>
      </c>
      <c r="E17" s="16" t="s">
        <v>14</v>
      </c>
      <c r="F17" s="56" t="s">
        <v>30</v>
      </c>
    </row>
    <row r="18" spans="1:6" s="38" customFormat="1" ht="51" x14ac:dyDescent="0.2">
      <c r="A18" s="16">
        <f t="shared" si="0"/>
        <v>6</v>
      </c>
      <c r="B18" s="21" t="s">
        <v>88</v>
      </c>
      <c r="C18" s="14">
        <v>17585</v>
      </c>
      <c r="D18" s="22" t="s">
        <v>20</v>
      </c>
      <c r="E18" s="16" t="s">
        <v>14</v>
      </c>
      <c r="F18" s="26" t="s">
        <v>131</v>
      </c>
    </row>
    <row r="19" spans="1:6" s="38" customFormat="1" ht="38.25" x14ac:dyDescent="0.2">
      <c r="A19" s="16">
        <f t="shared" si="0"/>
        <v>7</v>
      </c>
      <c r="B19" s="21" t="s">
        <v>118</v>
      </c>
      <c r="C19" s="16">
        <v>34737</v>
      </c>
      <c r="D19" s="22" t="s">
        <v>20</v>
      </c>
      <c r="E19" s="16" t="s">
        <v>19</v>
      </c>
      <c r="F19" s="26" t="s">
        <v>129</v>
      </c>
    </row>
    <row r="20" spans="1:6" s="38" customFormat="1" ht="38.25" x14ac:dyDescent="0.2">
      <c r="A20" s="16">
        <f t="shared" si="0"/>
        <v>8</v>
      </c>
      <c r="B20" s="21" t="s">
        <v>125</v>
      </c>
      <c r="C20" s="14">
        <v>34253</v>
      </c>
      <c r="D20" s="22" t="s">
        <v>20</v>
      </c>
      <c r="E20" s="16" t="s">
        <v>19</v>
      </c>
      <c r="F20" s="26" t="s">
        <v>163</v>
      </c>
    </row>
    <row r="21" spans="1:6" s="38" customFormat="1" x14ac:dyDescent="0.2">
      <c r="A21" s="16">
        <f t="shared" si="0"/>
        <v>9</v>
      </c>
      <c r="B21" s="21" t="s">
        <v>194</v>
      </c>
      <c r="C21" s="14">
        <v>34161</v>
      </c>
      <c r="D21" s="22" t="s">
        <v>68</v>
      </c>
      <c r="E21" s="16" t="s">
        <v>14</v>
      </c>
      <c r="F21" s="56" t="s">
        <v>30</v>
      </c>
    </row>
    <row r="22" spans="1:6" x14ac:dyDescent="0.2">
      <c r="B22" s="57"/>
      <c r="C22" s="5"/>
      <c r="D22" s="42"/>
      <c r="E22" s="39"/>
      <c r="F22" s="77"/>
    </row>
    <row r="23" spans="1:6" x14ac:dyDescent="0.2">
      <c r="B23" s="57"/>
      <c r="C23" s="5"/>
      <c r="D23" s="42"/>
      <c r="E23" s="39"/>
      <c r="F23" s="77"/>
    </row>
    <row r="24" spans="1:6" x14ac:dyDescent="0.2">
      <c r="B24" s="57"/>
      <c r="C24" s="5"/>
      <c r="D24" s="42"/>
      <c r="E24" s="39"/>
      <c r="F24" s="77"/>
    </row>
    <row r="25" spans="1:6" x14ac:dyDescent="0.2">
      <c r="B25" s="57"/>
      <c r="C25" s="5"/>
      <c r="D25" s="42"/>
      <c r="E25" s="39"/>
      <c r="F25" s="77"/>
    </row>
    <row r="26" spans="1:6" x14ac:dyDescent="0.2">
      <c r="B26" s="57"/>
      <c r="C26" s="5"/>
      <c r="D26" s="42"/>
      <c r="E26" s="39"/>
      <c r="F26" s="77"/>
    </row>
    <row r="27" spans="1:6" x14ac:dyDescent="0.2">
      <c r="B27" s="57"/>
      <c r="C27" s="5"/>
      <c r="D27" s="42"/>
      <c r="E27" s="39"/>
      <c r="F27" s="77"/>
    </row>
    <row r="28" spans="1:6" x14ac:dyDescent="0.2">
      <c r="B28" s="57"/>
      <c r="C28" s="5"/>
      <c r="D28" s="42"/>
      <c r="E28" s="39"/>
      <c r="F28" s="77"/>
    </row>
    <row r="29" spans="1:6" ht="15.75" x14ac:dyDescent="0.25">
      <c r="A29" s="10"/>
      <c r="B29" s="10"/>
      <c r="C29" s="10"/>
      <c r="D29" s="9"/>
      <c r="E29" s="10"/>
      <c r="F29" s="55"/>
    </row>
    <row r="31" spans="1:6" x14ac:dyDescent="0.2">
      <c r="A31" s="148"/>
      <c r="B31" s="149"/>
      <c r="C31" s="149"/>
      <c r="D31" s="149"/>
      <c r="E31" s="149"/>
      <c r="F31" s="149"/>
    </row>
    <row r="32" spans="1:6" ht="15" x14ac:dyDescent="0.25">
      <c r="A32" s="146" t="s">
        <v>17</v>
      </c>
      <c r="B32" s="147"/>
      <c r="C32" s="147"/>
      <c r="D32" s="147"/>
      <c r="E32" s="147"/>
      <c r="F32" s="147"/>
    </row>
  </sheetData>
  <autoFilter ref="A12:F21" xr:uid="{AE7D10C4-4245-4D6B-94A1-D4DC3D1D9F40}">
    <sortState xmlns:xlrd2="http://schemas.microsoft.com/office/spreadsheetml/2017/richdata2" ref="A13:F21">
      <sortCondition ref="B12:B21"/>
    </sortState>
  </autoFilter>
  <mergeCells count="12">
    <mergeCell ref="A32:F32"/>
    <mergeCell ref="A1:F1"/>
    <mergeCell ref="A2:E2"/>
    <mergeCell ref="A4:F4"/>
    <mergeCell ref="A5:F5"/>
    <mergeCell ref="A7:B7"/>
    <mergeCell ref="A8:B8"/>
    <mergeCell ref="C8:F8"/>
    <mergeCell ref="A9:B9"/>
    <mergeCell ref="A31:F31"/>
    <mergeCell ref="E7:F7"/>
    <mergeCell ref="E9:F9"/>
  </mergeCells>
  <pageMargins left="0.7" right="0.7" top="0.75" bottom="0.75" header="0.3" footer="0.3"/>
  <pageSetup scale="80"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9356-B23A-4C63-9A4B-2E801DC9DDDA}">
  <sheetPr>
    <pageSetUpPr fitToPage="1"/>
  </sheetPr>
  <dimension ref="A1:F24"/>
  <sheetViews>
    <sheetView topLeftCell="A14" zoomScaleNormal="100" workbookViewId="0">
      <selection activeCell="B16" sqref="B16"/>
    </sheetView>
  </sheetViews>
  <sheetFormatPr baseColWidth="10" defaultColWidth="11.42578125" defaultRowHeight="12.75" x14ac:dyDescent="0.2"/>
  <cols>
    <col min="1" max="1" width="5" style="1" bestFit="1" customWidth="1"/>
    <col min="2" max="2" width="37.42578125" style="3" bestFit="1" customWidth="1"/>
    <col min="3" max="3" width="13.7109375" customWidth="1"/>
    <col min="4" max="4" width="13.7109375" bestFit="1" customWidth="1"/>
    <col min="5" max="5" width="15.42578125" style="1" customWidth="1"/>
    <col min="6" max="6" width="39"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94</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s="38" customFormat="1" ht="27" customHeight="1" x14ac:dyDescent="0.2">
      <c r="A13" s="18">
        <v>1</v>
      </c>
      <c r="B13" s="21" t="s">
        <v>69</v>
      </c>
      <c r="C13" s="14">
        <v>37061</v>
      </c>
      <c r="D13" s="22" t="s">
        <v>70</v>
      </c>
      <c r="E13" s="16" t="s">
        <v>29</v>
      </c>
      <c r="F13" s="52" t="s">
        <v>30</v>
      </c>
    </row>
    <row r="14" spans="1:6" s="38" customFormat="1" ht="48.75" customHeight="1" x14ac:dyDescent="0.2">
      <c r="A14" s="16">
        <v>2</v>
      </c>
      <c r="B14" s="21" t="s">
        <v>27</v>
      </c>
      <c r="C14" s="14">
        <v>37265</v>
      </c>
      <c r="D14" s="22" t="s">
        <v>26</v>
      </c>
      <c r="E14" s="16" t="s">
        <v>19</v>
      </c>
      <c r="F14" s="21" t="s">
        <v>38</v>
      </c>
    </row>
    <row r="15" spans="1:6" s="38" customFormat="1" ht="66.75" customHeight="1" x14ac:dyDescent="0.2">
      <c r="A15" s="16">
        <v>3</v>
      </c>
      <c r="B15" s="52" t="s">
        <v>95</v>
      </c>
      <c r="C15" s="14">
        <v>37299</v>
      </c>
      <c r="D15" s="22" t="s">
        <v>26</v>
      </c>
      <c r="E15" s="16" t="s">
        <v>19</v>
      </c>
      <c r="F15" s="21" t="s">
        <v>154</v>
      </c>
    </row>
    <row r="16" spans="1:6" s="38" customFormat="1" ht="78" customHeight="1" x14ac:dyDescent="0.2">
      <c r="A16" s="16">
        <v>4</v>
      </c>
      <c r="B16" s="21" t="s">
        <v>88</v>
      </c>
      <c r="C16" s="14">
        <v>37294</v>
      </c>
      <c r="D16" s="22" t="s">
        <v>20</v>
      </c>
      <c r="E16" s="16" t="s">
        <v>29</v>
      </c>
      <c r="F16" s="21" t="s">
        <v>132</v>
      </c>
    </row>
    <row r="17" spans="1:6" s="38" customFormat="1" ht="36.75" customHeight="1" x14ac:dyDescent="0.2">
      <c r="A17" s="16">
        <v>5</v>
      </c>
      <c r="B17" s="21" t="s">
        <v>125</v>
      </c>
      <c r="C17" s="14">
        <v>37019</v>
      </c>
      <c r="D17" s="22" t="s">
        <v>20</v>
      </c>
      <c r="E17" s="16" t="s">
        <v>19</v>
      </c>
      <c r="F17" s="26" t="s">
        <v>163</v>
      </c>
    </row>
    <row r="18" spans="1:6" s="38" customFormat="1" ht="64.5" customHeight="1" x14ac:dyDescent="0.2">
      <c r="A18" s="16">
        <v>6</v>
      </c>
      <c r="B18" s="21" t="s">
        <v>73</v>
      </c>
      <c r="C18" s="14">
        <v>36604</v>
      </c>
      <c r="D18" s="22" t="s">
        <v>96</v>
      </c>
      <c r="E18" s="16" t="s">
        <v>29</v>
      </c>
      <c r="F18" s="21" t="s">
        <v>133</v>
      </c>
    </row>
    <row r="19" spans="1:6" x14ac:dyDescent="0.2">
      <c r="A19" s="16"/>
      <c r="B19" s="21"/>
      <c r="C19" s="11"/>
      <c r="D19" s="19"/>
      <c r="E19" s="4"/>
      <c r="F19" s="20"/>
    </row>
    <row r="20" spans="1:6" x14ac:dyDescent="0.2">
      <c r="A20" s="16"/>
      <c r="B20" s="21"/>
      <c r="C20" s="11"/>
      <c r="D20" s="19"/>
      <c r="E20" s="4"/>
      <c r="F20" s="20"/>
    </row>
    <row r="21" spans="1:6" x14ac:dyDescent="0.2">
      <c r="B21" s="57"/>
      <c r="C21" s="5"/>
      <c r="D21" s="6"/>
      <c r="F21" s="29"/>
    </row>
    <row r="22" spans="1:6" ht="60.75" customHeight="1" x14ac:dyDescent="0.2"/>
    <row r="23" spans="1:6" x14ac:dyDescent="0.2">
      <c r="A23" s="148"/>
      <c r="B23" s="149"/>
      <c r="C23" s="149"/>
      <c r="D23" s="149"/>
      <c r="E23" s="149"/>
      <c r="F23" s="149"/>
    </row>
    <row r="24" spans="1:6" ht="15" x14ac:dyDescent="0.25">
      <c r="A24" s="146" t="s">
        <v>17</v>
      </c>
      <c r="B24" s="147"/>
      <c r="C24" s="147"/>
      <c r="D24" s="147"/>
      <c r="E24" s="147"/>
      <c r="F24" s="147"/>
    </row>
  </sheetData>
  <autoFilter ref="A12:F18" xr:uid="{74CD9356-B23A-4C63-9A4B-2E801DC9DDDA}">
    <sortState xmlns:xlrd2="http://schemas.microsoft.com/office/spreadsheetml/2017/richdata2" ref="A13:F18">
      <sortCondition ref="B12:B18"/>
    </sortState>
  </autoFilter>
  <mergeCells count="12">
    <mergeCell ref="A24:F24"/>
    <mergeCell ref="A1:F1"/>
    <mergeCell ref="A2:E2"/>
    <mergeCell ref="A4:F4"/>
    <mergeCell ref="A5:F5"/>
    <mergeCell ref="A7:B7"/>
    <mergeCell ref="A8:B8"/>
    <mergeCell ref="C8:F8"/>
    <mergeCell ref="A9:B9"/>
    <mergeCell ref="A23:F23"/>
    <mergeCell ref="E7:F7"/>
    <mergeCell ref="E9:F9"/>
  </mergeCells>
  <pageMargins left="0.7" right="0.7" top="0.75" bottom="0.75" header="0.3" footer="0.3"/>
  <pageSetup scale="74"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E6E7-2878-4BC1-B8E3-417614733508}">
  <sheetPr>
    <pageSetUpPr fitToPage="1"/>
  </sheetPr>
  <dimension ref="A1:F27"/>
  <sheetViews>
    <sheetView topLeftCell="A14" zoomScaleNormal="100" workbookViewId="0">
      <selection activeCell="D14" sqref="D14"/>
    </sheetView>
  </sheetViews>
  <sheetFormatPr baseColWidth="10" defaultColWidth="11.42578125" defaultRowHeight="12.75" x14ac:dyDescent="0.2"/>
  <cols>
    <col min="1" max="1" width="5" style="1" bestFit="1" customWidth="1"/>
    <col min="2" max="2" width="37.42578125" style="3" bestFit="1" customWidth="1"/>
    <col min="3" max="3" width="12.7109375" style="100" customWidth="1"/>
    <col min="4" max="4" width="13.7109375" bestFit="1" customWidth="1"/>
    <col min="5" max="5" width="15.42578125" style="1" customWidth="1"/>
    <col min="6" max="6" width="33.140625" style="53"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90"/>
      <c r="D3" s="43"/>
      <c r="E3" s="61"/>
      <c r="F3" s="44" t="s">
        <v>3</v>
      </c>
    </row>
    <row r="4" spans="1:6" ht="20.25" x14ac:dyDescent="0.3">
      <c r="A4" s="141" t="s">
        <v>4</v>
      </c>
      <c r="B4" s="142"/>
      <c r="C4" s="142"/>
      <c r="D4" s="142"/>
      <c r="E4" s="142"/>
      <c r="F4" s="142"/>
    </row>
    <row r="5" spans="1:6" ht="13.5" customHeight="1" x14ac:dyDescent="0.25">
      <c r="A5" s="143" t="s">
        <v>230</v>
      </c>
      <c r="B5" s="144"/>
      <c r="C5" s="144"/>
      <c r="D5" s="144"/>
      <c r="E5" s="144"/>
      <c r="F5" s="144"/>
    </row>
    <row r="6" spans="1:6" ht="15" x14ac:dyDescent="0.2">
      <c r="A6" s="62"/>
      <c r="B6" s="40"/>
      <c r="C6" s="91"/>
      <c r="D6" s="40"/>
      <c r="E6" s="40"/>
      <c r="F6" s="45"/>
    </row>
    <row r="7" spans="1:6" ht="15.75" x14ac:dyDescent="0.25">
      <c r="A7" s="145" t="s">
        <v>5</v>
      </c>
      <c r="B7" s="145"/>
      <c r="C7" s="63" t="s">
        <v>97</v>
      </c>
      <c r="D7" s="63"/>
      <c r="E7" s="135"/>
      <c r="F7" s="135"/>
    </row>
    <row r="8" spans="1:6" ht="15.75" x14ac:dyDescent="0.25">
      <c r="A8" s="145" t="s">
        <v>7</v>
      </c>
      <c r="B8" s="145"/>
      <c r="C8" s="138" t="s">
        <v>229</v>
      </c>
      <c r="D8" s="138"/>
      <c r="E8" s="138"/>
      <c r="F8" s="138"/>
    </row>
    <row r="9" spans="1:6" ht="15.75" x14ac:dyDescent="0.25">
      <c r="A9" s="145" t="s">
        <v>8</v>
      </c>
      <c r="B9" s="145"/>
      <c r="C9" s="88">
        <v>45793</v>
      </c>
      <c r="D9" s="63"/>
      <c r="E9" s="135"/>
      <c r="F9" s="135"/>
    </row>
    <row r="10" spans="1:6" ht="15.75" x14ac:dyDescent="0.25">
      <c r="A10" s="63"/>
      <c r="B10" s="64"/>
      <c r="C10" s="64"/>
      <c r="D10" s="46"/>
      <c r="E10" s="46"/>
      <c r="F10" s="46"/>
    </row>
    <row r="11" spans="1:6" ht="13.5" thickBot="1" x14ac:dyDescent="0.25">
      <c r="A11" s="31"/>
      <c r="B11" s="44"/>
      <c r="C11" s="90"/>
      <c r="D11" s="66"/>
      <c r="E11" s="61"/>
      <c r="F11" s="47"/>
    </row>
    <row r="12" spans="1:6" ht="32.25" thickBot="1" x14ac:dyDescent="0.25">
      <c r="A12" s="85" t="s">
        <v>9</v>
      </c>
      <c r="B12" s="86" t="s">
        <v>10</v>
      </c>
      <c r="C12" s="92" t="s">
        <v>225</v>
      </c>
      <c r="D12" s="86" t="s">
        <v>11</v>
      </c>
      <c r="E12" s="86" t="s">
        <v>226</v>
      </c>
      <c r="F12" s="87" t="s">
        <v>12</v>
      </c>
    </row>
    <row r="13" spans="1:6" x14ac:dyDescent="0.2">
      <c r="A13" s="2">
        <v>1</v>
      </c>
      <c r="B13" s="28" t="s">
        <v>69</v>
      </c>
      <c r="C13" s="98">
        <v>37059</v>
      </c>
      <c r="D13" s="19" t="s">
        <v>70</v>
      </c>
      <c r="E13" s="4" t="s">
        <v>14</v>
      </c>
      <c r="F13" s="54" t="s">
        <v>30</v>
      </c>
    </row>
    <row r="14" spans="1:6" s="38" customFormat="1" ht="63.75" customHeight="1" x14ac:dyDescent="0.2">
      <c r="A14" s="16">
        <v>2</v>
      </c>
      <c r="B14" s="21" t="s">
        <v>98</v>
      </c>
      <c r="C14" s="99">
        <v>37263</v>
      </c>
      <c r="D14" s="22" t="s">
        <v>26</v>
      </c>
      <c r="E14" s="16" t="s">
        <v>19</v>
      </c>
      <c r="F14" s="26" t="s">
        <v>38</v>
      </c>
    </row>
    <row r="15" spans="1:6" s="38" customFormat="1" ht="114" customHeight="1" x14ac:dyDescent="0.2">
      <c r="A15" s="16">
        <v>3</v>
      </c>
      <c r="B15" s="52" t="s">
        <v>65</v>
      </c>
      <c r="C15" s="99">
        <v>37297</v>
      </c>
      <c r="D15" s="42" t="s">
        <v>26</v>
      </c>
      <c r="E15" s="16" t="s">
        <v>19</v>
      </c>
      <c r="F15" s="26" t="s">
        <v>170</v>
      </c>
    </row>
    <row r="16" spans="1:6" s="38" customFormat="1" ht="76.5" x14ac:dyDescent="0.2">
      <c r="A16" s="16">
        <v>4</v>
      </c>
      <c r="B16" s="21" t="s">
        <v>88</v>
      </c>
      <c r="C16" s="99">
        <v>37292</v>
      </c>
      <c r="D16" s="22" t="s">
        <v>20</v>
      </c>
      <c r="E16" s="16" t="s">
        <v>14</v>
      </c>
      <c r="F16" s="21" t="s">
        <v>132</v>
      </c>
    </row>
    <row r="17" spans="1:6" s="38" customFormat="1" ht="38.25" x14ac:dyDescent="0.2">
      <c r="A17" s="16">
        <v>5</v>
      </c>
      <c r="B17" s="21" t="s">
        <v>125</v>
      </c>
      <c r="C17" s="99">
        <v>37910</v>
      </c>
      <c r="D17" s="22" t="s">
        <v>20</v>
      </c>
      <c r="E17" s="16" t="s">
        <v>19</v>
      </c>
      <c r="F17" s="26" t="s">
        <v>163</v>
      </c>
    </row>
    <row r="18" spans="1:6" s="38" customFormat="1" x14ac:dyDescent="0.2">
      <c r="A18" s="16">
        <v>6</v>
      </c>
      <c r="B18" s="21" t="s">
        <v>101</v>
      </c>
      <c r="C18" s="99">
        <v>36689</v>
      </c>
      <c r="D18" s="22" t="s">
        <v>20</v>
      </c>
      <c r="E18" s="16" t="s">
        <v>14</v>
      </c>
      <c r="F18" s="26" t="s">
        <v>30</v>
      </c>
    </row>
    <row r="19" spans="1:6" s="38" customFormat="1" ht="76.5" x14ac:dyDescent="0.2">
      <c r="A19" s="16">
        <v>7</v>
      </c>
      <c r="B19" s="21" t="s">
        <v>73</v>
      </c>
      <c r="C19" s="99">
        <v>36605</v>
      </c>
      <c r="D19" s="22" t="s">
        <v>96</v>
      </c>
      <c r="E19" s="16" t="s">
        <v>14</v>
      </c>
      <c r="F19" s="21" t="s">
        <v>134</v>
      </c>
    </row>
    <row r="20" spans="1:6" x14ac:dyDescent="0.2">
      <c r="B20" s="57"/>
      <c r="D20" s="6"/>
      <c r="F20" s="78"/>
    </row>
    <row r="21" spans="1:6" x14ac:dyDescent="0.2">
      <c r="B21" s="57"/>
      <c r="D21" s="6"/>
      <c r="F21" s="78"/>
    </row>
    <row r="22" spans="1:6" x14ac:dyDescent="0.2">
      <c r="B22" s="57"/>
      <c r="D22" s="6"/>
      <c r="F22" s="78"/>
    </row>
    <row r="23" spans="1:6" x14ac:dyDescent="0.2">
      <c r="B23" s="57"/>
      <c r="D23" s="6"/>
      <c r="F23" s="78"/>
    </row>
    <row r="24" spans="1:6" x14ac:dyDescent="0.2">
      <c r="B24" s="57"/>
      <c r="D24" s="6"/>
      <c r="F24" s="78"/>
    </row>
    <row r="26" spans="1:6" x14ac:dyDescent="0.2">
      <c r="A26" s="148"/>
      <c r="B26" s="149"/>
      <c r="C26" s="149"/>
      <c r="D26" s="149"/>
      <c r="E26" s="149"/>
      <c r="F26" s="149"/>
    </row>
    <row r="27" spans="1:6" ht="15" x14ac:dyDescent="0.25">
      <c r="A27" s="146" t="s">
        <v>17</v>
      </c>
      <c r="B27" s="147"/>
      <c r="C27" s="147"/>
      <c r="D27" s="147"/>
      <c r="E27" s="147"/>
      <c r="F27" s="147"/>
    </row>
  </sheetData>
  <autoFilter ref="A12:F19" xr:uid="{4580E6E7-2878-4BC1-B8E3-417614733508}">
    <sortState xmlns:xlrd2="http://schemas.microsoft.com/office/spreadsheetml/2017/richdata2" ref="A13:F19">
      <sortCondition ref="B12:B19"/>
    </sortState>
  </autoFilter>
  <mergeCells count="12">
    <mergeCell ref="A27:F27"/>
    <mergeCell ref="A1:F1"/>
    <mergeCell ref="A2:E2"/>
    <mergeCell ref="A4:F4"/>
    <mergeCell ref="A5:F5"/>
    <mergeCell ref="A7:B7"/>
    <mergeCell ref="A8:B8"/>
    <mergeCell ref="C8:F8"/>
    <mergeCell ref="A9:B9"/>
    <mergeCell ref="A26:F26"/>
    <mergeCell ref="E7:F7"/>
    <mergeCell ref="E9:F9"/>
  </mergeCells>
  <pageMargins left="0.7" right="0.7" top="0.75" bottom="0.75" header="0.3" footer="0.3"/>
  <pageSetup scale="78"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12C02-BC7E-48CD-A68C-A05AD6762A8B}">
  <sheetPr>
    <pageSetUpPr fitToPage="1"/>
  </sheetPr>
  <dimension ref="A1:F27"/>
  <sheetViews>
    <sheetView topLeftCell="A9" zoomScaleNormal="100" workbookViewId="0">
      <selection activeCell="D23" sqref="D23"/>
    </sheetView>
  </sheetViews>
  <sheetFormatPr baseColWidth="10" defaultColWidth="11.42578125" defaultRowHeight="12.75" x14ac:dyDescent="0.2"/>
  <cols>
    <col min="1" max="1" width="5" style="1" bestFit="1" customWidth="1"/>
    <col min="2" max="2" width="37.42578125" style="3" bestFit="1" customWidth="1"/>
    <col min="3" max="3" width="12.5703125" customWidth="1"/>
    <col min="4" max="4" width="13.7109375" bestFit="1" customWidth="1"/>
    <col min="5" max="5" width="15.42578125" style="1" customWidth="1"/>
    <col min="6" max="6" width="30.28515625" style="53"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17.2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23" t="s">
        <v>99</v>
      </c>
      <c r="D7" s="63"/>
      <c r="E7" s="135"/>
      <c r="F7" s="135"/>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x14ac:dyDescent="0.2">
      <c r="A13" s="2">
        <v>1</v>
      </c>
      <c r="B13" s="28" t="s">
        <v>76</v>
      </c>
      <c r="C13" s="11">
        <v>37903</v>
      </c>
      <c r="D13" s="19" t="s">
        <v>20</v>
      </c>
      <c r="E13" s="4" t="s">
        <v>14</v>
      </c>
      <c r="F13" s="27" t="s">
        <v>30</v>
      </c>
    </row>
    <row r="14" spans="1:6" ht="76.5" x14ac:dyDescent="0.2">
      <c r="A14" s="4">
        <v>2</v>
      </c>
      <c r="B14" s="20" t="s">
        <v>88</v>
      </c>
      <c r="C14" s="4">
        <v>37293</v>
      </c>
      <c r="D14" s="19" t="s">
        <v>20</v>
      </c>
      <c r="E14" s="4" t="s">
        <v>14</v>
      </c>
      <c r="F14" s="28" t="s">
        <v>132</v>
      </c>
    </row>
    <row r="15" spans="1:6" ht="38.25" x14ac:dyDescent="0.2">
      <c r="A15" s="4">
        <v>3</v>
      </c>
      <c r="B15" s="28" t="s">
        <v>125</v>
      </c>
      <c r="C15" s="11">
        <v>37021</v>
      </c>
      <c r="D15" s="19" t="s">
        <v>20</v>
      </c>
      <c r="E15" s="4" t="s">
        <v>19</v>
      </c>
      <c r="F15" s="26" t="s">
        <v>163</v>
      </c>
    </row>
    <row r="16" spans="1:6" x14ac:dyDescent="0.2">
      <c r="A16" s="4">
        <v>4</v>
      </c>
      <c r="B16" s="28" t="s">
        <v>101</v>
      </c>
      <c r="C16" s="11">
        <v>37203</v>
      </c>
      <c r="D16" s="19" t="s">
        <v>102</v>
      </c>
      <c r="E16" s="4" t="s">
        <v>14</v>
      </c>
      <c r="F16" s="27" t="s">
        <v>30</v>
      </c>
    </row>
    <row r="17" spans="1:6" x14ac:dyDescent="0.2">
      <c r="A17" s="4">
        <v>5</v>
      </c>
      <c r="B17" s="28" t="s">
        <v>122</v>
      </c>
      <c r="C17" s="11">
        <v>37907</v>
      </c>
      <c r="D17" s="19" t="s">
        <v>20</v>
      </c>
      <c r="E17" s="4" t="s">
        <v>14</v>
      </c>
      <c r="F17" s="27" t="s">
        <v>30</v>
      </c>
    </row>
    <row r="18" spans="1:6" x14ac:dyDescent="0.2">
      <c r="A18" s="4">
        <v>6</v>
      </c>
      <c r="B18" s="28" t="s">
        <v>73</v>
      </c>
      <c r="C18" s="11">
        <v>36606</v>
      </c>
      <c r="D18" s="19" t="s">
        <v>96</v>
      </c>
      <c r="E18" s="4" t="s">
        <v>14</v>
      </c>
      <c r="F18" s="54" t="s">
        <v>30</v>
      </c>
    </row>
    <row r="19" spans="1:6" s="38" customFormat="1" x14ac:dyDescent="0.2">
      <c r="A19" s="39"/>
      <c r="B19" s="57"/>
      <c r="C19" s="41"/>
      <c r="D19" s="42"/>
      <c r="E19" s="39"/>
      <c r="F19" s="58"/>
    </row>
    <row r="20" spans="1:6" s="38" customFormat="1" x14ac:dyDescent="0.2">
      <c r="A20" s="39"/>
      <c r="B20" s="57"/>
      <c r="C20" s="41"/>
      <c r="D20" s="42"/>
      <c r="E20" s="39"/>
      <c r="F20" s="58"/>
    </row>
    <row r="21" spans="1:6" s="38" customFormat="1" x14ac:dyDescent="0.2">
      <c r="A21" s="39"/>
      <c r="B21" s="57"/>
      <c r="C21" s="41"/>
      <c r="D21" s="42"/>
      <c r="E21" s="39"/>
      <c r="F21" s="58"/>
    </row>
    <row r="22" spans="1:6" s="38" customFormat="1" x14ac:dyDescent="0.2">
      <c r="A22" s="39"/>
      <c r="B22" s="57"/>
      <c r="C22" s="41"/>
      <c r="D22" s="42"/>
      <c r="E22" s="39"/>
      <c r="F22" s="58"/>
    </row>
    <row r="23" spans="1:6" s="38" customFormat="1" x14ac:dyDescent="0.2">
      <c r="A23" s="39"/>
      <c r="B23" s="57"/>
      <c r="C23" s="41"/>
      <c r="D23" s="42"/>
      <c r="E23" s="39"/>
      <c r="F23" s="58"/>
    </row>
    <row r="24" spans="1:6" s="38" customFormat="1" x14ac:dyDescent="0.2">
      <c r="A24" s="39"/>
      <c r="B24" s="57"/>
      <c r="C24" s="41"/>
      <c r="D24" s="42"/>
      <c r="E24" s="39"/>
      <c r="F24" s="58"/>
    </row>
    <row r="26" spans="1:6" x14ac:dyDescent="0.2">
      <c r="A26" s="148"/>
      <c r="B26" s="149"/>
      <c r="C26" s="149"/>
      <c r="D26" s="149"/>
      <c r="E26" s="149"/>
      <c r="F26" s="149"/>
    </row>
    <row r="27" spans="1:6" ht="15" x14ac:dyDescent="0.25">
      <c r="A27" s="146" t="s">
        <v>17</v>
      </c>
      <c r="B27" s="147"/>
      <c r="C27" s="147"/>
      <c r="D27" s="147"/>
      <c r="E27" s="147"/>
      <c r="F27" s="147"/>
    </row>
  </sheetData>
  <autoFilter ref="A12:F17" xr:uid="{71912C02-BC7E-48CD-A68C-A05AD6762A8B}">
    <sortState xmlns:xlrd2="http://schemas.microsoft.com/office/spreadsheetml/2017/richdata2" ref="A13:F18">
      <sortCondition ref="B12:B17"/>
    </sortState>
  </autoFilter>
  <mergeCells count="12">
    <mergeCell ref="A27:F27"/>
    <mergeCell ref="A1:F1"/>
    <mergeCell ref="A2:E2"/>
    <mergeCell ref="A4:F4"/>
    <mergeCell ref="A5:F5"/>
    <mergeCell ref="A7:B7"/>
    <mergeCell ref="A8:B8"/>
    <mergeCell ref="C8:F8"/>
    <mergeCell ref="A9:B9"/>
    <mergeCell ref="A26:F26"/>
    <mergeCell ref="E7:F7"/>
    <mergeCell ref="E9:F9"/>
  </mergeCells>
  <pageMargins left="0.7" right="0.7" top="0.75" bottom="0.75" header="0.3" footer="0.3"/>
  <pageSetup scale="80"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61D1-DE53-4F4E-BB06-CC4C26B1A8F7}">
  <sheetPr>
    <pageSetUpPr fitToPage="1"/>
  </sheetPr>
  <dimension ref="A1:F22"/>
  <sheetViews>
    <sheetView topLeftCell="A4" zoomScaleNormal="100" workbookViewId="0">
      <selection activeCell="F16" sqref="F16"/>
    </sheetView>
  </sheetViews>
  <sheetFormatPr baseColWidth="10" defaultColWidth="11.42578125" defaultRowHeight="12.75" x14ac:dyDescent="0.2"/>
  <cols>
    <col min="1" max="1" width="5" style="1" bestFit="1" customWidth="1"/>
    <col min="2" max="2" width="37.42578125" style="3" bestFit="1" customWidth="1"/>
    <col min="3" max="3" width="12.7109375" customWidth="1"/>
    <col min="4" max="4" width="13.7109375" style="100" bestFit="1" customWidth="1"/>
    <col min="5" max="5" width="15.42578125" style="1" customWidth="1"/>
    <col min="6" max="6" width="37"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96"/>
      <c r="E3" s="61"/>
      <c r="F3" s="44" t="s">
        <v>3</v>
      </c>
    </row>
    <row r="4" spans="1:6" ht="20.25" x14ac:dyDescent="0.3">
      <c r="A4" s="141" t="s">
        <v>4</v>
      </c>
      <c r="B4" s="142"/>
      <c r="C4" s="142"/>
      <c r="D4" s="142"/>
      <c r="E4" s="142"/>
      <c r="F4" s="142"/>
    </row>
    <row r="5" spans="1:6" ht="20.25" customHeight="1" x14ac:dyDescent="0.25">
      <c r="A5" s="143" t="s">
        <v>230</v>
      </c>
      <c r="B5" s="144"/>
      <c r="C5" s="144"/>
      <c r="D5" s="144"/>
      <c r="E5" s="144"/>
      <c r="F5" s="144"/>
    </row>
    <row r="6" spans="1:6" ht="15" x14ac:dyDescent="0.2">
      <c r="A6" s="62"/>
      <c r="B6" s="40"/>
      <c r="C6" s="40"/>
      <c r="D6" s="91"/>
      <c r="E6" s="40"/>
      <c r="F6" s="45"/>
    </row>
    <row r="7" spans="1:6" ht="15.75" x14ac:dyDescent="0.25">
      <c r="A7" s="145" t="s">
        <v>5</v>
      </c>
      <c r="B7" s="145"/>
      <c r="C7" s="138" t="s">
        <v>319</v>
      </c>
      <c r="D7" s="138"/>
      <c r="E7" s="138"/>
      <c r="F7" s="138"/>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64"/>
      <c r="E10" s="46"/>
      <c r="F10" s="46"/>
    </row>
    <row r="11" spans="1:6" ht="13.5" thickBot="1" x14ac:dyDescent="0.25">
      <c r="A11" s="31"/>
      <c r="B11" s="44"/>
      <c r="C11" s="44"/>
      <c r="D11" s="102"/>
      <c r="E11" s="61"/>
      <c r="F11" s="47"/>
    </row>
    <row r="12" spans="1:6" ht="32.25" thickBot="1" x14ac:dyDescent="0.25">
      <c r="A12" s="85" t="s">
        <v>9</v>
      </c>
      <c r="B12" s="86" t="s">
        <v>10</v>
      </c>
      <c r="C12" s="86" t="s">
        <v>225</v>
      </c>
      <c r="D12" s="92" t="s">
        <v>11</v>
      </c>
      <c r="E12" s="86" t="s">
        <v>226</v>
      </c>
      <c r="F12" s="87" t="s">
        <v>12</v>
      </c>
    </row>
    <row r="13" spans="1:6" x14ac:dyDescent="0.2">
      <c r="A13" s="16">
        <v>1</v>
      </c>
      <c r="B13" s="52" t="s">
        <v>100</v>
      </c>
      <c r="C13" s="16">
        <v>36264</v>
      </c>
      <c r="D13" s="103" t="s">
        <v>66</v>
      </c>
      <c r="E13" s="16" t="s">
        <v>14</v>
      </c>
      <c r="F13" s="26" t="s">
        <v>30</v>
      </c>
    </row>
    <row r="14" spans="1:6" ht="51" customHeight="1" x14ac:dyDescent="0.2">
      <c r="A14" s="16">
        <v>2</v>
      </c>
      <c r="B14" s="52" t="s">
        <v>109</v>
      </c>
      <c r="C14" s="16">
        <v>34500</v>
      </c>
      <c r="D14" s="103" t="s">
        <v>66</v>
      </c>
      <c r="E14" s="16" t="s">
        <v>14</v>
      </c>
      <c r="F14" s="26" t="s">
        <v>30</v>
      </c>
    </row>
    <row r="15" spans="1:6" ht="49.5" customHeight="1" x14ac:dyDescent="0.2">
      <c r="A15" s="16">
        <v>3</v>
      </c>
      <c r="B15" s="52" t="s">
        <v>187</v>
      </c>
      <c r="C15" s="16">
        <v>2802</v>
      </c>
      <c r="D15" s="103" t="s">
        <v>20</v>
      </c>
      <c r="E15" s="16" t="s">
        <v>19</v>
      </c>
      <c r="F15" s="26" t="s">
        <v>186</v>
      </c>
    </row>
    <row r="16" spans="1:6" ht="68.25" customHeight="1" x14ac:dyDescent="0.2">
      <c r="A16" s="16">
        <v>4</v>
      </c>
      <c r="B16" s="52" t="s">
        <v>104</v>
      </c>
      <c r="C16" s="16">
        <v>9869</v>
      </c>
      <c r="D16" s="103" t="s">
        <v>66</v>
      </c>
      <c r="E16" s="16" t="s">
        <v>19</v>
      </c>
      <c r="F16" s="26" t="s">
        <v>189</v>
      </c>
    </row>
    <row r="17" spans="1:6" ht="68.25" customHeight="1" x14ac:dyDescent="0.2">
      <c r="A17" s="16">
        <v>5</v>
      </c>
      <c r="B17" s="52" t="s">
        <v>190</v>
      </c>
      <c r="C17" s="16">
        <v>37041</v>
      </c>
      <c r="D17" s="103" t="s">
        <v>20</v>
      </c>
      <c r="E17" s="16" t="s">
        <v>14</v>
      </c>
      <c r="F17" s="26" t="s">
        <v>30</v>
      </c>
    </row>
    <row r="18" spans="1:6" ht="57.75" customHeight="1" x14ac:dyDescent="0.2">
      <c r="A18" s="16">
        <v>6</v>
      </c>
      <c r="B18" s="21" t="s">
        <v>108</v>
      </c>
      <c r="C18" s="16">
        <v>15501</v>
      </c>
      <c r="D18" s="103" t="s">
        <v>20</v>
      </c>
      <c r="E18" s="16" t="s">
        <v>19</v>
      </c>
      <c r="F18" s="26" t="s">
        <v>191</v>
      </c>
    </row>
    <row r="19" spans="1:6" ht="57.75" customHeight="1" x14ac:dyDescent="0.2">
      <c r="A19" s="16">
        <v>7</v>
      </c>
      <c r="B19" s="21" t="s">
        <v>188</v>
      </c>
      <c r="C19" s="50" t="s">
        <v>320</v>
      </c>
      <c r="D19" s="103" t="s">
        <v>20</v>
      </c>
      <c r="E19" s="16" t="s">
        <v>14</v>
      </c>
      <c r="F19" s="26" t="s">
        <v>30</v>
      </c>
    </row>
    <row r="20" spans="1:6" ht="45.75" customHeight="1" x14ac:dyDescent="0.2"/>
    <row r="21" spans="1:6" x14ac:dyDescent="0.2">
      <c r="A21" s="148"/>
      <c r="B21" s="149"/>
      <c r="C21" s="149"/>
      <c r="D21" s="149"/>
      <c r="E21" s="149"/>
      <c r="F21" s="149"/>
    </row>
    <row r="22" spans="1:6" ht="15" x14ac:dyDescent="0.25">
      <c r="A22" s="146" t="s">
        <v>17</v>
      </c>
      <c r="B22" s="147"/>
      <c r="C22" s="147"/>
      <c r="D22" s="147"/>
      <c r="E22" s="147"/>
      <c r="F22" s="147"/>
    </row>
  </sheetData>
  <mergeCells count="12">
    <mergeCell ref="A22:F22"/>
    <mergeCell ref="A1:F1"/>
    <mergeCell ref="A2:E2"/>
    <mergeCell ref="A4:F4"/>
    <mergeCell ref="A5:F5"/>
    <mergeCell ref="A7:B7"/>
    <mergeCell ref="C7:F7"/>
    <mergeCell ref="A8:B8"/>
    <mergeCell ref="C8:F8"/>
    <mergeCell ref="A9:B9"/>
    <mergeCell ref="A21:F21"/>
    <mergeCell ref="E9:F9"/>
  </mergeCells>
  <pageMargins left="0.7" right="0.7" top="0.75" bottom="0.75" header="0.3" footer="0.3"/>
  <pageSetup scale="76"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D6BE7-4359-4789-905F-D82D1163BEB8}">
  <sheetPr>
    <pageSetUpPr fitToPage="1"/>
  </sheetPr>
  <dimension ref="A1:F25"/>
  <sheetViews>
    <sheetView topLeftCell="A6" zoomScaleNormal="100" workbookViewId="0">
      <selection activeCell="B20" sqref="B20"/>
    </sheetView>
  </sheetViews>
  <sheetFormatPr baseColWidth="10" defaultColWidth="11.42578125" defaultRowHeight="12.75" x14ac:dyDescent="0.2"/>
  <cols>
    <col min="1" max="1" width="5" style="1" bestFit="1" customWidth="1"/>
    <col min="2" max="2" width="37.42578125" style="3" bestFit="1" customWidth="1"/>
    <col min="3" max="3" width="13" customWidth="1"/>
    <col min="4" max="4" width="13.7109375" bestFit="1" customWidth="1"/>
    <col min="5" max="5" width="15.42578125" style="1" customWidth="1"/>
    <col min="6" max="6" width="41.28515625"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customHeight="1" x14ac:dyDescent="0.3">
      <c r="A4" s="141" t="s">
        <v>4</v>
      </c>
      <c r="B4" s="142"/>
      <c r="C4" s="142"/>
      <c r="D4" s="142"/>
      <c r="E4" s="142"/>
      <c r="F4" s="142"/>
    </row>
    <row r="5" spans="1:6" ht="21.75" customHeight="1" x14ac:dyDescent="0.25">
      <c r="A5" s="143" t="s">
        <v>230</v>
      </c>
      <c r="B5" s="144"/>
      <c r="C5" s="144"/>
      <c r="D5" s="144"/>
      <c r="E5" s="144"/>
      <c r="F5" s="144"/>
    </row>
    <row r="6" spans="1:6" ht="15" x14ac:dyDescent="0.2">
      <c r="A6" s="62"/>
      <c r="B6" s="40"/>
      <c r="C6" s="40"/>
      <c r="D6" s="40"/>
      <c r="E6" s="40"/>
      <c r="F6" s="45"/>
    </row>
    <row r="7" spans="1:6" ht="15.75" customHeight="1" x14ac:dyDescent="0.25">
      <c r="A7" s="145" t="s">
        <v>5</v>
      </c>
      <c r="B7" s="145"/>
      <c r="C7" s="138" t="s">
        <v>235</v>
      </c>
      <c r="D7" s="138"/>
      <c r="E7" s="138"/>
      <c r="F7" s="138"/>
    </row>
    <row r="8" spans="1:6" ht="15.75" customHeight="1" x14ac:dyDescent="0.25">
      <c r="A8" s="145" t="s">
        <v>7</v>
      </c>
      <c r="B8" s="145"/>
      <c r="C8" s="138" t="s">
        <v>229</v>
      </c>
      <c r="D8" s="138"/>
      <c r="E8" s="138"/>
      <c r="F8" s="138"/>
    </row>
    <row r="9" spans="1:6" ht="15.75" customHeight="1"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ht="25.5" x14ac:dyDescent="0.2">
      <c r="A13" s="50">
        <v>1</v>
      </c>
      <c r="B13" s="52" t="s">
        <v>172</v>
      </c>
      <c r="C13" s="16">
        <v>37361</v>
      </c>
      <c r="D13" s="16" t="s">
        <v>174</v>
      </c>
      <c r="E13" s="16" t="s">
        <v>19</v>
      </c>
      <c r="F13" s="21" t="s">
        <v>173</v>
      </c>
    </row>
    <row r="14" spans="1:6" ht="29.25" customHeight="1" x14ac:dyDescent="0.2">
      <c r="A14" s="16">
        <f>A13+1</f>
        <v>2</v>
      </c>
      <c r="B14" s="52" t="s">
        <v>159</v>
      </c>
      <c r="C14" s="16">
        <v>26681</v>
      </c>
      <c r="D14" s="22" t="s">
        <v>20</v>
      </c>
      <c r="E14" s="16" t="s">
        <v>19</v>
      </c>
      <c r="F14" s="26" t="s">
        <v>175</v>
      </c>
    </row>
    <row r="15" spans="1:6" ht="102" x14ac:dyDescent="0.2">
      <c r="A15" s="16">
        <f t="shared" ref="A15:A23" si="0">A14+1</f>
        <v>3</v>
      </c>
      <c r="B15" s="52" t="s">
        <v>18</v>
      </c>
      <c r="C15" s="50" t="s">
        <v>321</v>
      </c>
      <c r="D15" s="22" t="s">
        <v>20</v>
      </c>
      <c r="E15" s="16" t="s">
        <v>19</v>
      </c>
      <c r="F15" s="26" t="s">
        <v>21</v>
      </c>
    </row>
    <row r="16" spans="1:6" ht="25.5" customHeight="1" x14ac:dyDescent="0.2">
      <c r="A16" s="16">
        <f t="shared" si="0"/>
        <v>4</v>
      </c>
      <c r="B16" s="21" t="s">
        <v>22</v>
      </c>
      <c r="C16" s="14">
        <v>33706</v>
      </c>
      <c r="D16" s="22" t="s">
        <v>20</v>
      </c>
      <c r="E16" s="16" t="s">
        <v>19</v>
      </c>
      <c r="F16" s="26" t="s">
        <v>23</v>
      </c>
    </row>
    <row r="17" spans="1:6" ht="31.5" customHeight="1" x14ac:dyDescent="0.2">
      <c r="A17" s="16">
        <f t="shared" si="0"/>
        <v>5</v>
      </c>
      <c r="B17" s="21" t="s">
        <v>24</v>
      </c>
      <c r="C17" s="14">
        <v>35528</v>
      </c>
      <c r="D17" s="22" t="s">
        <v>20</v>
      </c>
      <c r="E17" s="16" t="s">
        <v>156</v>
      </c>
      <c r="F17" s="26" t="s">
        <v>30</v>
      </c>
    </row>
    <row r="18" spans="1:6" ht="39" customHeight="1" x14ac:dyDescent="0.2">
      <c r="A18" s="16">
        <f t="shared" si="0"/>
        <v>6</v>
      </c>
      <c r="B18" s="21" t="s">
        <v>106</v>
      </c>
      <c r="C18" s="14">
        <v>25509</v>
      </c>
      <c r="D18" s="22" t="s">
        <v>20</v>
      </c>
      <c r="E18" s="16" t="s">
        <v>19</v>
      </c>
      <c r="F18" s="26" t="s">
        <v>313</v>
      </c>
    </row>
    <row r="19" spans="1:6" ht="48.75" customHeight="1" x14ac:dyDescent="0.2">
      <c r="A19" s="16">
        <f t="shared" si="0"/>
        <v>7</v>
      </c>
      <c r="B19" s="21" t="s">
        <v>106</v>
      </c>
      <c r="C19" s="14">
        <v>25510</v>
      </c>
      <c r="D19" s="22" t="s">
        <v>20</v>
      </c>
      <c r="E19" s="16" t="s">
        <v>19</v>
      </c>
      <c r="F19" s="26" t="s">
        <v>314</v>
      </c>
    </row>
    <row r="20" spans="1:6" ht="39" customHeight="1" x14ac:dyDescent="0.2">
      <c r="A20" s="16">
        <f t="shared" si="0"/>
        <v>8</v>
      </c>
      <c r="B20" s="21" t="s">
        <v>106</v>
      </c>
      <c r="C20" s="14">
        <v>25511</v>
      </c>
      <c r="D20" s="22" t="s">
        <v>20</v>
      </c>
      <c r="E20" s="16" t="s">
        <v>19</v>
      </c>
      <c r="F20" s="26" t="s">
        <v>315</v>
      </c>
    </row>
    <row r="21" spans="1:6" ht="39" customHeight="1" x14ac:dyDescent="0.2">
      <c r="A21" s="16">
        <f t="shared" si="0"/>
        <v>9</v>
      </c>
      <c r="B21" s="21" t="s">
        <v>106</v>
      </c>
      <c r="C21" s="14">
        <v>25513</v>
      </c>
      <c r="D21" s="22" t="s">
        <v>20</v>
      </c>
      <c r="E21" s="16" t="s">
        <v>19</v>
      </c>
      <c r="F21" s="26" t="s">
        <v>318</v>
      </c>
    </row>
    <row r="22" spans="1:6" ht="39" customHeight="1" x14ac:dyDescent="0.2">
      <c r="A22" s="16">
        <f t="shared" si="0"/>
        <v>10</v>
      </c>
      <c r="B22" s="21" t="s">
        <v>316</v>
      </c>
      <c r="C22" s="14">
        <v>25514</v>
      </c>
      <c r="D22" s="22" t="s">
        <v>20</v>
      </c>
      <c r="E22" s="16" t="s">
        <v>19</v>
      </c>
      <c r="F22" s="26" t="s">
        <v>317</v>
      </c>
    </row>
    <row r="23" spans="1:6" ht="51" x14ac:dyDescent="0.2">
      <c r="A23" s="16">
        <f t="shared" si="0"/>
        <v>11</v>
      </c>
      <c r="B23" s="21" t="s">
        <v>110</v>
      </c>
      <c r="C23" s="104" t="s">
        <v>322</v>
      </c>
      <c r="D23" s="19" t="s">
        <v>20</v>
      </c>
      <c r="E23" s="4" t="s">
        <v>14</v>
      </c>
      <c r="F23" s="27" t="s">
        <v>30</v>
      </c>
    </row>
    <row r="24" spans="1:6" ht="69" customHeight="1" x14ac:dyDescent="0.2">
      <c r="A24" s="148"/>
      <c r="B24" s="149"/>
      <c r="C24" s="149"/>
      <c r="D24" s="149"/>
      <c r="E24" s="149"/>
      <c r="F24" s="149"/>
    </row>
    <row r="25" spans="1:6" ht="15" x14ac:dyDescent="0.25">
      <c r="A25" s="146" t="s">
        <v>17</v>
      </c>
      <c r="B25" s="147"/>
      <c r="C25" s="147"/>
      <c r="D25" s="147"/>
      <c r="E25" s="147"/>
      <c r="F25" s="147"/>
    </row>
  </sheetData>
  <mergeCells count="12">
    <mergeCell ref="A25:F25"/>
    <mergeCell ref="A1:F1"/>
    <mergeCell ref="A2:E2"/>
    <mergeCell ref="A4:F4"/>
    <mergeCell ref="A5:F5"/>
    <mergeCell ref="A7:B7"/>
    <mergeCell ref="C7:F7"/>
    <mergeCell ref="A8:B8"/>
    <mergeCell ref="C8:F8"/>
    <mergeCell ref="A9:B9"/>
    <mergeCell ref="A24:F24"/>
    <mergeCell ref="E9:F9"/>
  </mergeCells>
  <pageMargins left="0.7" right="0.7" top="0.75" bottom="0.75" header="0.3" footer="0.3"/>
  <pageSetup scale="73"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AD549-2D6E-4248-B0F4-B5F1A2F0253F}">
  <sheetPr>
    <pageSetUpPr fitToPage="1"/>
  </sheetPr>
  <dimension ref="A1:F17"/>
  <sheetViews>
    <sheetView topLeftCell="A12" zoomScaleNormal="100" workbookViewId="0">
      <selection activeCell="J12" sqref="J12"/>
    </sheetView>
  </sheetViews>
  <sheetFormatPr baseColWidth="10" defaultColWidth="11.42578125" defaultRowHeight="12.75" x14ac:dyDescent="0.2"/>
  <cols>
    <col min="1" max="1" width="5" style="1" bestFit="1" customWidth="1"/>
    <col min="2" max="2" width="37.42578125" style="3" bestFit="1" customWidth="1"/>
    <col min="3" max="3" width="13.7109375" customWidth="1"/>
    <col min="4" max="4" width="13.7109375" bestFit="1" customWidth="1"/>
    <col min="5" max="5" width="15.42578125" style="1" customWidth="1"/>
    <col min="6" max="6" width="41.28515625"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21.75" customHeight="1" x14ac:dyDescent="0.25">
      <c r="A5" s="143" t="s">
        <v>230</v>
      </c>
      <c r="B5" s="144"/>
      <c r="C5" s="144"/>
      <c r="D5" s="144"/>
      <c r="E5" s="144"/>
      <c r="F5" s="144"/>
    </row>
    <row r="6" spans="1:6" ht="15" x14ac:dyDescent="0.2">
      <c r="A6" s="62"/>
      <c r="B6" s="40"/>
      <c r="C6" s="40"/>
      <c r="D6" s="40"/>
      <c r="E6" s="40"/>
      <c r="F6" s="45"/>
    </row>
    <row r="7" spans="1:6" ht="15.75" x14ac:dyDescent="0.25">
      <c r="A7" s="145" t="s">
        <v>5</v>
      </c>
      <c r="B7" s="145"/>
      <c r="C7" s="138" t="s">
        <v>234</v>
      </c>
      <c r="D7" s="138"/>
      <c r="E7" s="138"/>
      <c r="F7" s="138"/>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x14ac:dyDescent="0.2">
      <c r="A13" s="50">
        <v>1</v>
      </c>
      <c r="B13" s="52" t="s">
        <v>202</v>
      </c>
      <c r="C13" s="16">
        <v>225</v>
      </c>
      <c r="D13" s="79" t="s">
        <v>20</v>
      </c>
      <c r="E13" s="16" t="s">
        <v>19</v>
      </c>
      <c r="F13" s="21" t="s">
        <v>329</v>
      </c>
    </row>
    <row r="14" spans="1:6" ht="29.25" customHeight="1" x14ac:dyDescent="0.2">
      <c r="A14" s="16">
        <v>2</v>
      </c>
      <c r="B14" s="52" t="s">
        <v>202</v>
      </c>
      <c r="C14" s="16">
        <v>239</v>
      </c>
      <c r="D14" s="79" t="s">
        <v>20</v>
      </c>
      <c r="E14" s="16" t="s">
        <v>19</v>
      </c>
      <c r="F14" s="21" t="s">
        <v>203</v>
      </c>
    </row>
    <row r="15" spans="1:6" s="38" customFormat="1" ht="249" customHeight="1" x14ac:dyDescent="0.2">
      <c r="A15" s="16">
        <v>3</v>
      </c>
      <c r="B15" s="21" t="s">
        <v>184</v>
      </c>
      <c r="C15" s="67" t="s">
        <v>330</v>
      </c>
      <c r="D15" s="79" t="s">
        <v>20</v>
      </c>
      <c r="E15" s="16" t="s">
        <v>19</v>
      </c>
      <c r="F15" s="26" t="s">
        <v>334</v>
      </c>
    </row>
    <row r="16" spans="1:6" ht="69" customHeight="1" x14ac:dyDescent="0.2">
      <c r="A16" s="148"/>
      <c r="B16" s="149"/>
      <c r="C16" s="149"/>
      <c r="D16" s="149"/>
      <c r="E16" s="149"/>
      <c r="F16" s="149"/>
    </row>
    <row r="17" spans="1:6" ht="15" x14ac:dyDescent="0.25">
      <c r="A17" s="146" t="s">
        <v>17</v>
      </c>
      <c r="B17" s="147"/>
      <c r="C17" s="147"/>
      <c r="D17" s="147"/>
      <c r="E17" s="147"/>
      <c r="F17" s="147"/>
    </row>
  </sheetData>
  <mergeCells count="12">
    <mergeCell ref="A17:F17"/>
    <mergeCell ref="A1:F1"/>
    <mergeCell ref="A2:E2"/>
    <mergeCell ref="A4:F4"/>
    <mergeCell ref="A5:F5"/>
    <mergeCell ref="A7:B7"/>
    <mergeCell ref="C7:F7"/>
    <mergeCell ref="A8:B8"/>
    <mergeCell ref="C8:F8"/>
    <mergeCell ref="A9:B9"/>
    <mergeCell ref="A16:F16"/>
    <mergeCell ref="E9:F9"/>
  </mergeCells>
  <pageMargins left="0.7" right="0.7" top="0.75" bottom="0.75" header="0.3" footer="0.3"/>
  <pageSetup scale="73"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E6B94-71C4-4EDB-837B-7A062D2AC2F4}">
  <sheetPr>
    <pageSetUpPr fitToPage="1"/>
  </sheetPr>
  <dimension ref="A1:F25"/>
  <sheetViews>
    <sheetView topLeftCell="A7" zoomScaleNormal="100" workbookViewId="0">
      <selection activeCell="C16" sqref="C16"/>
    </sheetView>
  </sheetViews>
  <sheetFormatPr baseColWidth="10" defaultColWidth="11.42578125" defaultRowHeight="12.75" x14ac:dyDescent="0.2"/>
  <cols>
    <col min="1" max="1" width="5" style="1" bestFit="1" customWidth="1"/>
    <col min="2" max="2" width="37.42578125" style="3" bestFit="1" customWidth="1"/>
    <col min="3" max="3" width="14.42578125" customWidth="1"/>
    <col min="4" max="4" width="13.7109375" bestFit="1" customWidth="1"/>
    <col min="5" max="5" width="15.42578125" style="1" customWidth="1"/>
    <col min="6" max="6" width="41.28515625"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44"/>
      <c r="D3" s="43"/>
      <c r="E3" s="61"/>
      <c r="F3" s="44" t="s">
        <v>3</v>
      </c>
    </row>
    <row r="4" spans="1:6" ht="20.25" x14ac:dyDescent="0.3">
      <c r="A4" s="141" t="s">
        <v>4</v>
      </c>
      <c r="B4" s="142"/>
      <c r="C4" s="142"/>
      <c r="D4" s="142"/>
      <c r="E4" s="142"/>
      <c r="F4" s="142"/>
    </row>
    <row r="5" spans="1:6" ht="21.75" customHeight="1" x14ac:dyDescent="0.25">
      <c r="A5" s="143" t="s">
        <v>230</v>
      </c>
      <c r="B5" s="144"/>
      <c r="C5" s="144"/>
      <c r="D5" s="144"/>
      <c r="E5" s="144"/>
      <c r="F5" s="144"/>
    </row>
    <row r="6" spans="1:6" ht="15" x14ac:dyDescent="0.2">
      <c r="A6" s="62"/>
      <c r="B6" s="40"/>
      <c r="C6" s="40"/>
      <c r="D6" s="40"/>
      <c r="E6" s="40"/>
      <c r="F6" s="45"/>
    </row>
    <row r="7" spans="1:6" ht="24" customHeight="1" x14ac:dyDescent="0.25">
      <c r="A7" s="145" t="s">
        <v>5</v>
      </c>
      <c r="B7" s="145"/>
      <c r="C7" s="138" t="s">
        <v>233</v>
      </c>
      <c r="D7" s="138"/>
      <c r="E7" s="138"/>
      <c r="F7" s="138"/>
    </row>
    <row r="8" spans="1:6" ht="15.75" x14ac:dyDescent="0.25">
      <c r="A8" s="145" t="s">
        <v>7</v>
      </c>
      <c r="B8" s="145"/>
      <c r="C8" s="138" t="s">
        <v>229</v>
      </c>
      <c r="D8" s="138"/>
      <c r="E8" s="138"/>
      <c r="F8" s="138"/>
    </row>
    <row r="9" spans="1:6" ht="15.75" x14ac:dyDescent="0.25">
      <c r="A9" s="145" t="s">
        <v>8</v>
      </c>
      <c r="B9" s="145"/>
      <c r="C9" s="89">
        <v>45793</v>
      </c>
      <c r="D9" s="63"/>
      <c r="E9" s="135"/>
      <c r="F9" s="135"/>
    </row>
    <row r="10" spans="1:6" ht="15.75" x14ac:dyDescent="0.25">
      <c r="A10" s="63"/>
      <c r="B10" s="64"/>
      <c r="C10" s="64"/>
      <c r="D10" s="46"/>
      <c r="E10" s="46"/>
      <c r="F10" s="46"/>
    </row>
    <row r="11" spans="1:6" ht="13.5" thickBot="1" x14ac:dyDescent="0.25">
      <c r="A11" s="31"/>
      <c r="B11" s="44"/>
      <c r="C11" s="44"/>
      <c r="D11" s="66"/>
      <c r="E11" s="61"/>
      <c r="F11" s="47"/>
    </row>
    <row r="12" spans="1:6" ht="32.25" thickBot="1" x14ac:dyDescent="0.25">
      <c r="A12" s="85" t="s">
        <v>9</v>
      </c>
      <c r="B12" s="86" t="s">
        <v>10</v>
      </c>
      <c r="C12" s="86" t="s">
        <v>225</v>
      </c>
      <c r="D12" s="86" t="s">
        <v>11</v>
      </c>
      <c r="E12" s="86" t="s">
        <v>226</v>
      </c>
      <c r="F12" s="87" t="s">
        <v>12</v>
      </c>
    </row>
    <row r="13" spans="1:6" x14ac:dyDescent="0.2">
      <c r="A13" s="50">
        <v>1</v>
      </c>
      <c r="B13" s="21" t="s">
        <v>100</v>
      </c>
      <c r="C13" s="14">
        <v>46358</v>
      </c>
      <c r="D13" s="22" t="s">
        <v>66</v>
      </c>
      <c r="E13" s="16" t="s">
        <v>14</v>
      </c>
      <c r="F13" s="26" t="s">
        <v>30</v>
      </c>
    </row>
    <row r="14" spans="1:6" x14ac:dyDescent="0.2">
      <c r="A14" s="50"/>
      <c r="B14" s="21" t="s">
        <v>109</v>
      </c>
      <c r="C14" s="14">
        <v>46359</v>
      </c>
      <c r="D14" s="22" t="s">
        <v>323</v>
      </c>
      <c r="E14" s="16" t="s">
        <v>14</v>
      </c>
      <c r="F14" s="26" t="s">
        <v>30</v>
      </c>
    </row>
    <row r="15" spans="1:6" ht="29.25" customHeight="1" x14ac:dyDescent="0.2">
      <c r="A15" s="16">
        <v>2</v>
      </c>
      <c r="B15" s="52" t="s">
        <v>123</v>
      </c>
      <c r="C15" s="50" t="s">
        <v>325</v>
      </c>
      <c r="D15" s="22" t="s">
        <v>20</v>
      </c>
      <c r="E15" s="16" t="s">
        <v>14</v>
      </c>
      <c r="F15" s="21" t="s">
        <v>30</v>
      </c>
    </row>
    <row r="16" spans="1:6" ht="29.25" customHeight="1" x14ac:dyDescent="0.2">
      <c r="A16" s="16">
        <v>3</v>
      </c>
      <c r="B16" s="21" t="s">
        <v>204</v>
      </c>
      <c r="C16" s="35" t="s">
        <v>324</v>
      </c>
      <c r="D16" s="19" t="s">
        <v>20</v>
      </c>
      <c r="E16" s="4" t="s">
        <v>19</v>
      </c>
      <c r="F16" s="27" t="s">
        <v>185</v>
      </c>
    </row>
    <row r="17" spans="1:6" ht="29.25" customHeight="1" x14ac:dyDescent="0.2">
      <c r="A17" s="16">
        <v>4</v>
      </c>
      <c r="B17" s="21" t="s">
        <v>118</v>
      </c>
      <c r="C17" s="16">
        <v>37395</v>
      </c>
      <c r="D17" s="22" t="s">
        <v>20</v>
      </c>
      <c r="E17" s="16" t="s">
        <v>19</v>
      </c>
      <c r="F17" s="26" t="s">
        <v>129</v>
      </c>
    </row>
    <row r="18" spans="1:6" ht="29.25" customHeight="1" x14ac:dyDescent="0.2">
      <c r="A18" s="16">
        <v>4</v>
      </c>
      <c r="B18" s="21" t="s">
        <v>326</v>
      </c>
      <c r="C18" s="16">
        <v>39632</v>
      </c>
      <c r="D18" s="22" t="s">
        <v>20</v>
      </c>
      <c r="E18" s="16" t="s">
        <v>19</v>
      </c>
      <c r="F18" s="26" t="s">
        <v>129</v>
      </c>
    </row>
    <row r="19" spans="1:6" ht="29.25" customHeight="1" x14ac:dyDescent="0.2">
      <c r="A19" s="50">
        <v>5</v>
      </c>
      <c r="B19" s="21" t="s">
        <v>108</v>
      </c>
      <c r="C19" s="11">
        <v>10714</v>
      </c>
      <c r="D19" s="22" t="s">
        <v>20</v>
      </c>
      <c r="E19" s="16" t="s">
        <v>14</v>
      </c>
      <c r="F19" s="21" t="s">
        <v>30</v>
      </c>
    </row>
    <row r="20" spans="1:6" ht="29.25" customHeight="1" x14ac:dyDescent="0.2">
      <c r="A20" s="16">
        <v>6</v>
      </c>
      <c r="B20" s="21" t="s">
        <v>125</v>
      </c>
      <c r="C20" s="14">
        <v>34564</v>
      </c>
      <c r="D20" s="22" t="s">
        <v>20</v>
      </c>
      <c r="E20" s="16" t="s">
        <v>19</v>
      </c>
      <c r="F20" s="26" t="s">
        <v>163</v>
      </c>
    </row>
    <row r="21" spans="1:6" ht="87" customHeight="1" x14ac:dyDescent="0.2">
      <c r="A21" s="16">
        <v>7</v>
      </c>
      <c r="B21" s="21" t="s">
        <v>205</v>
      </c>
      <c r="C21" s="35" t="s">
        <v>327</v>
      </c>
      <c r="D21" s="19" t="s">
        <v>20</v>
      </c>
      <c r="E21" s="4" t="s">
        <v>19</v>
      </c>
      <c r="F21" s="26" t="s">
        <v>328</v>
      </c>
    </row>
    <row r="22" spans="1:6" ht="29.25" customHeight="1" x14ac:dyDescent="0.2">
      <c r="A22" s="39"/>
      <c r="B22" s="57"/>
      <c r="C22" s="5"/>
      <c r="D22" s="6"/>
      <c r="F22" s="78"/>
    </row>
    <row r="23" spans="1:6" ht="29.25" customHeight="1" x14ac:dyDescent="0.2">
      <c r="A23" s="39"/>
      <c r="B23" s="57"/>
      <c r="C23" s="5"/>
      <c r="D23" s="6"/>
      <c r="F23" s="78"/>
    </row>
    <row r="24" spans="1:6" ht="69" customHeight="1" x14ac:dyDescent="0.2">
      <c r="A24" s="148"/>
      <c r="B24" s="149"/>
      <c r="C24" s="149"/>
      <c r="D24" s="149"/>
      <c r="E24" s="149"/>
      <c r="F24" s="149"/>
    </row>
    <row r="25" spans="1:6" ht="15" x14ac:dyDescent="0.25">
      <c r="A25" s="146" t="s">
        <v>17</v>
      </c>
      <c r="B25" s="147"/>
      <c r="C25" s="147"/>
      <c r="D25" s="147"/>
      <c r="E25" s="147"/>
      <c r="F25" s="147"/>
    </row>
  </sheetData>
  <mergeCells count="12">
    <mergeCell ref="A25:F25"/>
    <mergeCell ref="A1:F1"/>
    <mergeCell ref="A2:E2"/>
    <mergeCell ref="A4:F4"/>
    <mergeCell ref="A5:F5"/>
    <mergeCell ref="A7:B7"/>
    <mergeCell ref="C7:F7"/>
    <mergeCell ref="A8:B8"/>
    <mergeCell ref="C8:F8"/>
    <mergeCell ref="A9:B9"/>
    <mergeCell ref="A24:F24"/>
    <mergeCell ref="E9:F9"/>
  </mergeCells>
  <pageMargins left="0.7" right="0.7" top="0.75" bottom="0.75" header="0.3" footer="0.3"/>
  <pageSetup scale="72"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ED18-61D6-4961-BBF4-CE145296B9E5}">
  <sheetPr>
    <pageSetUpPr fitToPage="1"/>
  </sheetPr>
  <dimension ref="A1:F38"/>
  <sheetViews>
    <sheetView zoomScale="70" zoomScaleNormal="70" workbookViewId="0">
      <selection activeCell="F18" sqref="F18"/>
    </sheetView>
  </sheetViews>
  <sheetFormatPr baseColWidth="10" defaultColWidth="11.42578125" defaultRowHeight="12.75" x14ac:dyDescent="0.2"/>
  <cols>
    <col min="1" max="1" width="5" style="1" bestFit="1" customWidth="1"/>
    <col min="2" max="2" width="37.42578125" style="3" bestFit="1" customWidth="1"/>
    <col min="3" max="3" width="12.28515625" style="113" customWidth="1"/>
    <col min="4" max="4" width="16.140625" customWidth="1"/>
    <col min="5" max="5" width="15.42578125" style="1" customWidth="1"/>
    <col min="6" max="6" width="49.7109375" style="24" customWidth="1"/>
  </cols>
  <sheetData>
    <row r="1" spans="1:6" ht="30" customHeight="1" x14ac:dyDescent="0.2">
      <c r="A1" s="134" t="s">
        <v>0</v>
      </c>
      <c r="B1" s="134"/>
      <c r="C1" s="134"/>
      <c r="D1" s="134"/>
      <c r="E1" s="134"/>
      <c r="F1" s="134"/>
    </row>
    <row r="2" spans="1:6" ht="23.25" customHeight="1" x14ac:dyDescent="0.2">
      <c r="A2" s="133" t="s">
        <v>1</v>
      </c>
      <c r="B2" s="133"/>
      <c r="C2" s="133"/>
      <c r="D2" s="133"/>
      <c r="E2" s="133"/>
      <c r="F2" s="25" t="s">
        <v>227</v>
      </c>
    </row>
    <row r="3" spans="1:6" ht="14.25" x14ac:dyDescent="0.2">
      <c r="A3" s="12" t="s">
        <v>2</v>
      </c>
      <c r="B3" s="44"/>
      <c r="C3" s="108"/>
      <c r="D3" s="43"/>
      <c r="E3" s="61"/>
      <c r="F3" s="44" t="s">
        <v>3</v>
      </c>
    </row>
    <row r="4" spans="1:6" ht="20.25" customHeight="1" x14ac:dyDescent="0.3">
      <c r="A4" s="141" t="s">
        <v>4</v>
      </c>
      <c r="B4" s="142"/>
      <c r="C4" s="142"/>
      <c r="D4" s="142"/>
      <c r="E4" s="142"/>
      <c r="F4" s="142"/>
    </row>
    <row r="5" spans="1:6" ht="24.75" customHeight="1" x14ac:dyDescent="0.25">
      <c r="A5" s="143" t="s">
        <v>230</v>
      </c>
      <c r="B5" s="144"/>
      <c r="C5" s="144"/>
      <c r="D5" s="144"/>
      <c r="E5" s="144"/>
      <c r="F5" s="144"/>
    </row>
    <row r="6" spans="1:6" ht="15" x14ac:dyDescent="0.2">
      <c r="A6" s="62"/>
      <c r="B6" s="40"/>
      <c r="C6" s="109"/>
      <c r="D6" s="40"/>
      <c r="E6" s="40"/>
      <c r="F6" s="45"/>
    </row>
    <row r="7" spans="1:6" ht="29.25" customHeight="1" x14ac:dyDescent="0.25">
      <c r="A7" s="145" t="s">
        <v>5</v>
      </c>
      <c r="B7" s="145"/>
      <c r="C7" s="138" t="s">
        <v>6</v>
      </c>
      <c r="D7" s="138"/>
      <c r="E7" s="138"/>
      <c r="F7" s="138"/>
    </row>
    <row r="8" spans="1:6" ht="15.75" customHeight="1" x14ac:dyDescent="0.25">
      <c r="A8" s="145" t="s">
        <v>7</v>
      </c>
      <c r="B8" s="145"/>
      <c r="C8" s="138" t="s">
        <v>232</v>
      </c>
      <c r="D8" s="138"/>
      <c r="E8" s="138"/>
      <c r="F8" s="138"/>
    </row>
    <row r="9" spans="1:6" ht="15.75" customHeight="1" x14ac:dyDescent="0.25">
      <c r="A9" s="145" t="s">
        <v>8</v>
      </c>
      <c r="B9" s="145"/>
      <c r="C9" s="110">
        <v>45793</v>
      </c>
      <c r="D9" s="63"/>
      <c r="E9" s="135"/>
      <c r="F9" s="135"/>
    </row>
    <row r="10" spans="1:6" ht="15.75" x14ac:dyDescent="0.25">
      <c r="A10" s="63"/>
      <c r="B10" s="64"/>
      <c r="C10" s="111"/>
      <c r="D10" s="46"/>
      <c r="E10" s="46"/>
      <c r="F10" s="46"/>
    </row>
    <row r="11" spans="1:6" ht="13.5" thickBot="1" x14ac:dyDescent="0.25">
      <c r="A11" s="31"/>
      <c r="B11" s="44"/>
      <c r="C11" s="108"/>
      <c r="D11" s="66"/>
      <c r="E11" s="61"/>
      <c r="F11" s="47"/>
    </row>
    <row r="12" spans="1:6" ht="47.25" x14ac:dyDescent="0.2">
      <c r="A12" s="105" t="s">
        <v>9</v>
      </c>
      <c r="B12" s="106" t="s">
        <v>10</v>
      </c>
      <c r="C12" s="112" t="s">
        <v>225</v>
      </c>
      <c r="D12" s="106" t="s">
        <v>11</v>
      </c>
      <c r="E12" s="106" t="s">
        <v>226</v>
      </c>
      <c r="F12" s="107" t="s">
        <v>12</v>
      </c>
    </row>
    <row r="13" spans="1:6" x14ac:dyDescent="0.2">
      <c r="A13" s="50">
        <v>1</v>
      </c>
      <c r="B13" s="52" t="s">
        <v>331</v>
      </c>
      <c r="C13" s="114">
        <v>46019</v>
      </c>
      <c r="D13" s="22" t="s">
        <v>20</v>
      </c>
      <c r="E13" s="50" t="s">
        <v>156</v>
      </c>
      <c r="F13" s="26" t="s">
        <v>30</v>
      </c>
    </row>
    <row r="14" spans="1:6" s="38" customFormat="1" ht="49.5" customHeight="1" x14ac:dyDescent="0.2">
      <c r="A14" s="50">
        <f>A13+1</f>
        <v>2</v>
      </c>
      <c r="B14" s="52" t="s">
        <v>135</v>
      </c>
      <c r="C14" s="114">
        <v>38645</v>
      </c>
      <c r="D14" s="22" t="s">
        <v>136</v>
      </c>
      <c r="E14" s="50" t="s">
        <v>19</v>
      </c>
      <c r="F14" s="26" t="s">
        <v>333</v>
      </c>
    </row>
    <row r="15" spans="1:6" s="38" customFormat="1" ht="147.75" customHeight="1" x14ac:dyDescent="0.2">
      <c r="A15" s="50">
        <f t="shared" ref="A15:A33" si="0">A14+1</f>
        <v>3</v>
      </c>
      <c r="B15" s="52" t="s">
        <v>16</v>
      </c>
      <c r="C15" s="114">
        <v>34159</v>
      </c>
      <c r="D15" s="22" t="s">
        <v>26</v>
      </c>
      <c r="E15" s="16" t="s">
        <v>19</v>
      </c>
      <c r="F15" s="26" t="s">
        <v>332</v>
      </c>
    </row>
    <row r="16" spans="1:6" ht="63" customHeight="1" x14ac:dyDescent="0.2">
      <c r="A16" s="50">
        <f t="shared" si="0"/>
        <v>4</v>
      </c>
      <c r="B16" s="52" t="s">
        <v>103</v>
      </c>
      <c r="C16" s="114">
        <v>34158</v>
      </c>
      <c r="D16" s="22" t="s">
        <v>15</v>
      </c>
      <c r="E16" s="50" t="s">
        <v>19</v>
      </c>
      <c r="F16" s="26" t="s">
        <v>177</v>
      </c>
    </row>
    <row r="17" spans="1:6" ht="144" customHeight="1" x14ac:dyDescent="0.2">
      <c r="A17" s="50">
        <f t="shared" si="0"/>
        <v>5</v>
      </c>
      <c r="B17" s="52" t="s">
        <v>13</v>
      </c>
      <c r="C17" s="114">
        <v>37301</v>
      </c>
      <c r="D17" s="22" t="s">
        <v>26</v>
      </c>
      <c r="E17" s="16" t="s">
        <v>19</v>
      </c>
      <c r="F17" s="26" t="s">
        <v>332</v>
      </c>
    </row>
    <row r="18" spans="1:6" ht="100.5" customHeight="1" x14ac:dyDescent="0.2">
      <c r="A18" s="50">
        <f t="shared" si="0"/>
        <v>6</v>
      </c>
      <c r="B18" s="52" t="s">
        <v>137</v>
      </c>
      <c r="C18" s="114">
        <v>44913</v>
      </c>
      <c r="D18" s="22" t="s">
        <v>50</v>
      </c>
      <c r="E18" s="50" t="s">
        <v>14</v>
      </c>
      <c r="F18" s="26" t="s">
        <v>352</v>
      </c>
    </row>
    <row r="19" spans="1:6" ht="116.25" customHeight="1" x14ac:dyDescent="0.2">
      <c r="A19" s="50">
        <f t="shared" si="0"/>
        <v>7</v>
      </c>
      <c r="B19" s="52" t="s">
        <v>137</v>
      </c>
      <c r="C19" s="114">
        <v>47783</v>
      </c>
      <c r="D19" s="22" t="s">
        <v>50</v>
      </c>
      <c r="E19" s="121" t="s">
        <v>19</v>
      </c>
      <c r="F19" s="26" t="s">
        <v>354</v>
      </c>
    </row>
    <row r="20" spans="1:6" ht="100.5" customHeight="1" x14ac:dyDescent="0.2">
      <c r="A20" s="50">
        <f t="shared" si="0"/>
        <v>8</v>
      </c>
      <c r="B20" s="52" t="s">
        <v>137</v>
      </c>
      <c r="C20" s="114">
        <v>47784</v>
      </c>
      <c r="D20" s="22" t="s">
        <v>50</v>
      </c>
      <c r="E20" s="121" t="s">
        <v>19</v>
      </c>
      <c r="F20" s="26" t="s">
        <v>354</v>
      </c>
    </row>
    <row r="21" spans="1:6" ht="100.5" customHeight="1" x14ac:dyDescent="0.2">
      <c r="A21" s="50">
        <f t="shared" si="0"/>
        <v>9</v>
      </c>
      <c r="B21" s="52" t="s">
        <v>137</v>
      </c>
      <c r="C21" s="114">
        <v>47785</v>
      </c>
      <c r="D21" s="22" t="s">
        <v>50</v>
      </c>
      <c r="E21" s="121" t="s">
        <v>19</v>
      </c>
      <c r="F21" s="26" t="s">
        <v>354</v>
      </c>
    </row>
    <row r="22" spans="1:6" ht="100.5" customHeight="1" x14ac:dyDescent="0.2">
      <c r="A22" s="50">
        <f t="shared" si="0"/>
        <v>10</v>
      </c>
      <c r="B22" s="52" t="s">
        <v>137</v>
      </c>
      <c r="C22" s="114">
        <v>47786</v>
      </c>
      <c r="D22" s="22" t="s">
        <v>50</v>
      </c>
      <c r="E22" s="121" t="s">
        <v>19</v>
      </c>
      <c r="F22" s="26" t="s">
        <v>354</v>
      </c>
    </row>
    <row r="23" spans="1:6" ht="100.5" customHeight="1" x14ac:dyDescent="0.2">
      <c r="A23" s="50">
        <f t="shared" si="0"/>
        <v>11</v>
      </c>
      <c r="B23" s="52" t="s">
        <v>137</v>
      </c>
      <c r="C23" s="114">
        <v>47787</v>
      </c>
      <c r="D23" s="22" t="s">
        <v>50</v>
      </c>
      <c r="E23" s="50" t="s">
        <v>156</v>
      </c>
      <c r="F23" s="26" t="s">
        <v>355</v>
      </c>
    </row>
    <row r="24" spans="1:6" ht="100.5" customHeight="1" x14ac:dyDescent="0.2">
      <c r="A24" s="50">
        <f t="shared" si="0"/>
        <v>12</v>
      </c>
      <c r="B24" s="52" t="s">
        <v>137</v>
      </c>
      <c r="C24" s="114">
        <v>47788</v>
      </c>
      <c r="D24" s="22" t="s">
        <v>50</v>
      </c>
      <c r="E24" s="50" t="s">
        <v>156</v>
      </c>
      <c r="F24" s="26" t="s">
        <v>355</v>
      </c>
    </row>
    <row r="25" spans="1:6" ht="96.75" customHeight="1" x14ac:dyDescent="0.2">
      <c r="A25" s="50">
        <f t="shared" si="0"/>
        <v>13</v>
      </c>
      <c r="B25" s="52" t="s">
        <v>157</v>
      </c>
      <c r="C25" s="115">
        <v>39165</v>
      </c>
      <c r="D25" s="22" t="s">
        <v>158</v>
      </c>
      <c r="E25" s="50" t="s">
        <v>19</v>
      </c>
      <c r="F25" s="26" t="s">
        <v>338</v>
      </c>
    </row>
    <row r="26" spans="1:6" ht="93" customHeight="1" x14ac:dyDescent="0.2">
      <c r="A26" s="50">
        <f t="shared" si="0"/>
        <v>14</v>
      </c>
      <c r="B26" s="52" t="s">
        <v>157</v>
      </c>
      <c r="C26" s="115">
        <v>39282</v>
      </c>
      <c r="D26" s="22" t="s">
        <v>158</v>
      </c>
      <c r="E26" s="50" t="s">
        <v>19</v>
      </c>
      <c r="F26" s="26" t="s">
        <v>338</v>
      </c>
    </row>
    <row r="27" spans="1:6" ht="96" customHeight="1" x14ac:dyDescent="0.2">
      <c r="A27" s="50">
        <f t="shared" si="0"/>
        <v>15</v>
      </c>
      <c r="B27" s="52" t="s">
        <v>157</v>
      </c>
      <c r="C27" s="115">
        <v>39285</v>
      </c>
      <c r="D27" s="22" t="s">
        <v>158</v>
      </c>
      <c r="E27" s="50" t="s">
        <v>19</v>
      </c>
      <c r="F27" s="26" t="s">
        <v>338</v>
      </c>
    </row>
    <row r="28" spans="1:6" ht="95.25" customHeight="1" x14ac:dyDescent="0.2">
      <c r="A28" s="50">
        <f t="shared" si="0"/>
        <v>16</v>
      </c>
      <c r="B28" s="52" t="s">
        <v>157</v>
      </c>
      <c r="C28" s="115">
        <v>39286</v>
      </c>
      <c r="D28" s="22" t="s">
        <v>158</v>
      </c>
      <c r="E28" s="50" t="s">
        <v>19</v>
      </c>
      <c r="F28" s="26" t="s">
        <v>338</v>
      </c>
    </row>
    <row r="29" spans="1:6" ht="63" customHeight="1" x14ac:dyDescent="0.2">
      <c r="A29" s="50">
        <f t="shared" si="0"/>
        <v>17</v>
      </c>
      <c r="B29" s="21" t="s">
        <v>176</v>
      </c>
      <c r="C29" s="114">
        <v>38805</v>
      </c>
      <c r="D29" s="22" t="s">
        <v>138</v>
      </c>
      <c r="E29" s="50" t="s">
        <v>19</v>
      </c>
      <c r="F29" s="26" t="s">
        <v>335</v>
      </c>
    </row>
    <row r="30" spans="1:6" ht="63" customHeight="1" x14ac:dyDescent="0.2">
      <c r="A30" s="50">
        <f t="shared" si="0"/>
        <v>18</v>
      </c>
      <c r="B30" s="21" t="s">
        <v>176</v>
      </c>
      <c r="C30" s="114">
        <v>38806</v>
      </c>
      <c r="D30" s="22" t="s">
        <v>138</v>
      </c>
      <c r="E30" s="50" t="s">
        <v>19</v>
      </c>
      <c r="F30" s="26" t="s">
        <v>336</v>
      </c>
    </row>
    <row r="31" spans="1:6" ht="63" customHeight="1" x14ac:dyDescent="0.2">
      <c r="A31" s="50">
        <f t="shared" si="0"/>
        <v>19</v>
      </c>
      <c r="B31" s="118" t="s">
        <v>339</v>
      </c>
      <c r="C31" s="17">
        <v>49873</v>
      </c>
      <c r="D31" s="22" t="s">
        <v>340</v>
      </c>
      <c r="E31" s="50" t="s">
        <v>14</v>
      </c>
      <c r="F31" s="26" t="s">
        <v>30</v>
      </c>
    </row>
    <row r="32" spans="1:6" ht="63" customHeight="1" x14ac:dyDescent="0.2">
      <c r="A32" s="50">
        <f t="shared" si="0"/>
        <v>20</v>
      </c>
      <c r="B32" s="118" t="s">
        <v>339</v>
      </c>
      <c r="C32" s="17">
        <v>49874</v>
      </c>
      <c r="D32" s="22" t="s">
        <v>340</v>
      </c>
      <c r="E32" s="50" t="s">
        <v>14</v>
      </c>
      <c r="F32" s="26" t="s">
        <v>30</v>
      </c>
    </row>
    <row r="33" spans="1:6" ht="63" customHeight="1" x14ac:dyDescent="0.2">
      <c r="A33" s="50">
        <f t="shared" si="0"/>
        <v>21</v>
      </c>
      <c r="B33" s="118" t="s">
        <v>339</v>
      </c>
      <c r="C33" s="17">
        <v>49875</v>
      </c>
      <c r="D33" s="22" t="s">
        <v>340</v>
      </c>
      <c r="E33" s="50" t="s">
        <v>14</v>
      </c>
      <c r="F33" s="26" t="s">
        <v>30</v>
      </c>
    </row>
    <row r="34" spans="1:6" ht="63" customHeight="1" x14ac:dyDescent="0.2">
      <c r="A34" s="61"/>
      <c r="B34" s="57"/>
      <c r="C34" s="117"/>
      <c r="D34" s="42"/>
      <c r="E34" s="61"/>
      <c r="F34" s="58"/>
    </row>
    <row r="35" spans="1:6" ht="63" customHeight="1" x14ac:dyDescent="0.2">
      <c r="A35" s="61"/>
      <c r="B35" s="57"/>
      <c r="C35" s="117"/>
      <c r="D35" s="42"/>
      <c r="E35" s="61"/>
      <c r="F35" s="58"/>
    </row>
    <row r="36" spans="1:6" ht="63" customHeight="1" x14ac:dyDescent="0.2">
      <c r="A36" s="61"/>
      <c r="B36" s="57"/>
      <c r="C36" s="117"/>
      <c r="D36" s="42"/>
      <c r="E36" s="61"/>
      <c r="F36" s="58"/>
    </row>
    <row r="37" spans="1:6" ht="69.75" customHeight="1" x14ac:dyDescent="0.2">
      <c r="A37" s="148"/>
      <c r="B37" s="149"/>
      <c r="C37" s="149"/>
      <c r="D37" s="149"/>
      <c r="E37" s="149"/>
      <c r="F37" s="149"/>
    </row>
    <row r="38" spans="1:6" ht="15" x14ac:dyDescent="0.25">
      <c r="A38" s="146" t="s">
        <v>17</v>
      </c>
      <c r="B38" s="147"/>
      <c r="C38" s="147"/>
      <c r="D38" s="147"/>
      <c r="E38" s="147"/>
      <c r="F38" s="147"/>
    </row>
  </sheetData>
  <autoFilter ref="A12:F29" xr:uid="{45A6ED18-61D6-4961-BBF4-CE145296B9E5}">
    <sortState xmlns:xlrd2="http://schemas.microsoft.com/office/spreadsheetml/2017/richdata2" ref="A13:F29">
      <sortCondition ref="B12:B29"/>
    </sortState>
  </autoFilter>
  <mergeCells count="12">
    <mergeCell ref="A38:F38"/>
    <mergeCell ref="A1:F1"/>
    <mergeCell ref="A2:E2"/>
    <mergeCell ref="A4:F4"/>
    <mergeCell ref="A5:F5"/>
    <mergeCell ref="A7:B7"/>
    <mergeCell ref="C7:F7"/>
    <mergeCell ref="A8:B8"/>
    <mergeCell ref="C8:F8"/>
    <mergeCell ref="A9:B9"/>
    <mergeCell ref="A37:F37"/>
    <mergeCell ref="E9:F9"/>
  </mergeCells>
  <pageMargins left="0.70866141732283472" right="0.70866141732283472" top="0.74803149606299213" bottom="0.74803149606299213" header="0.31496062992125984" footer="0.31496062992125984"/>
  <pageSetup scale="67" fitToHeight="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9</vt:i4>
      </vt:variant>
    </vt:vector>
  </HeadingPairs>
  <TitlesOfParts>
    <vt:vector size="33" baseType="lpstr">
      <vt:lpstr>H-1</vt:lpstr>
      <vt:lpstr>H-2</vt:lpstr>
      <vt:lpstr>H-3</vt:lpstr>
      <vt:lpstr>H-4</vt:lpstr>
      <vt:lpstr>H-5</vt:lpstr>
      <vt:lpstr>H-6</vt:lpstr>
      <vt:lpstr>H-7</vt:lpstr>
      <vt:lpstr>K-1</vt:lpstr>
      <vt:lpstr>K-2</vt:lpstr>
      <vt:lpstr>K-3</vt:lpstr>
      <vt:lpstr>K-4</vt:lpstr>
      <vt:lpstr>K-5</vt:lpstr>
      <vt:lpstr>K-6</vt:lpstr>
      <vt:lpstr>H-102</vt:lpstr>
      <vt:lpstr>H-103</vt:lpstr>
      <vt:lpstr>H-104</vt:lpstr>
      <vt:lpstr>H-105</vt:lpstr>
      <vt:lpstr>H-106</vt:lpstr>
      <vt:lpstr>H-107</vt:lpstr>
      <vt:lpstr>OFICINA</vt:lpstr>
      <vt:lpstr>A CIRCULACION</vt:lpstr>
      <vt:lpstr>VESTUARIOS</vt:lpstr>
      <vt:lpstr>SALA DOCENTE</vt:lpstr>
      <vt:lpstr>ECONOMATO</vt:lpstr>
      <vt:lpstr>'H-3'!Área_de_impresión</vt:lpstr>
      <vt:lpstr>ECONOMATO!Títulos_a_imprimir</vt:lpstr>
      <vt:lpstr>'H-1'!Títulos_a_imprimir</vt:lpstr>
      <vt:lpstr>'H-2'!Títulos_a_imprimir</vt:lpstr>
      <vt:lpstr>'H-3'!Títulos_a_imprimir</vt:lpstr>
      <vt:lpstr>'H-4'!Títulos_a_imprimir</vt:lpstr>
      <vt:lpstr>'H-5'!Títulos_a_imprimir</vt:lpstr>
      <vt:lpstr>'H-6'!Títulos_a_imprimir</vt:lpstr>
      <vt:lpstr>'H-7'!Títulos_a_imprimir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 José Luis Román</dc:creator>
  <cp:keywords/>
  <dc:description/>
  <cp:lastModifiedBy>Sara Perez Yanez</cp:lastModifiedBy>
  <cp:revision/>
  <cp:lastPrinted>2025-05-23T15:20:24Z</cp:lastPrinted>
  <dcterms:created xsi:type="dcterms:W3CDTF">2001-03-14T13:55:37Z</dcterms:created>
  <dcterms:modified xsi:type="dcterms:W3CDTF">2025-06-03T20:30:34Z</dcterms:modified>
  <cp:category/>
  <cp:contentStatus/>
</cp:coreProperties>
</file>